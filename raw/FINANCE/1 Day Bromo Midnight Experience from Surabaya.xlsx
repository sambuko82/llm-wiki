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38" documentId="8_{49DE2DE6-D929-4DA0-BB4F-4F6EC9A2F1B6}" xr6:coauthVersionLast="47" xr6:coauthVersionMax="47" xr10:uidLastSave="{FA9EB4A5-FCBC-4F0C-A8E6-FC7640562F26}"/>
  <bookViews>
    <workbookView xWindow="-105" yWindow="0" windowWidth="19410" windowHeight="15585" xr2:uid="{00000000-000D-0000-FFFF-FFFF00000000}"/>
  </bookViews>
  <sheets>
    <sheet name="Calculation" sheetId="2" r:id="rId1"/>
    <sheet name="Summar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D12" i="2"/>
  <c r="D28" i="2"/>
  <c r="D8" i="2" l="1"/>
  <c r="E8" i="2" s="1"/>
  <c r="D9" i="2"/>
  <c r="E9" i="2" s="1"/>
  <c r="D10" i="2"/>
  <c r="E10" i="2" s="1"/>
  <c r="G6" i="3"/>
  <c r="G7" i="3"/>
  <c r="G8" i="3"/>
  <c r="G9" i="3"/>
  <c r="G10" i="3"/>
  <c r="G11" i="3"/>
  <c r="G12" i="3"/>
  <c r="G13" i="3"/>
  <c r="G14" i="3"/>
  <c r="G15" i="3"/>
  <c r="G5" i="3"/>
  <c r="E20" i="2"/>
  <c r="E23" i="2"/>
  <c r="E18" i="2"/>
  <c r="E24" i="2"/>
  <c r="D17" i="2"/>
  <c r="E17" i="2" s="1"/>
  <c r="E6" i="3"/>
  <c r="E7" i="3"/>
  <c r="E8" i="3"/>
  <c r="E9" i="3"/>
  <c r="E10" i="3"/>
  <c r="E11" i="3"/>
  <c r="E12" i="3"/>
  <c r="E13" i="3"/>
  <c r="E14" i="3"/>
  <c r="E15" i="3"/>
  <c r="E5" i="3"/>
  <c r="C6" i="3"/>
  <c r="C7" i="3"/>
  <c r="C8" i="3"/>
  <c r="C9" i="3"/>
  <c r="C10" i="3"/>
  <c r="C11" i="3"/>
  <c r="F11" i="3" s="1"/>
  <c r="C12" i="3"/>
  <c r="C13" i="3"/>
  <c r="C14" i="3"/>
  <c r="C15" i="3"/>
  <c r="C5" i="3"/>
  <c r="D29" i="2"/>
  <c r="E29" i="2" s="1"/>
  <c r="E28" i="2"/>
  <c r="D16" i="2"/>
  <c r="E16" i="2" s="1"/>
  <c r="E6" i="2"/>
  <c r="E21" i="2"/>
  <c r="E22" i="2"/>
  <c r="E25" i="2"/>
  <c r="E26" i="2"/>
  <c r="E27" i="2"/>
  <c r="F10" i="3" l="1"/>
  <c r="F9" i="3"/>
  <c r="F7" i="3"/>
  <c r="F6" i="3"/>
  <c r="F5" i="3"/>
  <c r="F14" i="3"/>
  <c r="F8" i="3"/>
  <c r="E30" i="2"/>
  <c r="E31" i="2" s="1"/>
  <c r="F12" i="3"/>
  <c r="F13" i="3"/>
  <c r="F15" i="3"/>
</calcChain>
</file>

<file path=xl/sharedStrings.xml><?xml version="1.0" encoding="utf-8"?>
<sst xmlns="http://schemas.openxmlformats.org/spreadsheetml/2006/main" count="61" uniqueCount="48">
  <si>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</si>
  <si>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</si>
  <si>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</si>
  <si>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</si>
  <si>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sz val="16"/>
        <rFont val="Calibri"/>
        <family val="1"/>
      </rPr>
      <t>No</t>
    </r>
  </si>
  <si>
    <r>
      <rPr>
        <b/>
        <sz val="16"/>
        <rFont val="Calibri"/>
        <family val="1"/>
      </rPr>
      <t>B. Activities</t>
    </r>
  </si>
  <si>
    <r>
      <rPr>
        <sz val="16"/>
        <rFont val="Calibri"/>
        <family val="1"/>
      </rPr>
      <t>Pax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</si>
  <si>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</si>
  <si>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</si>
  <si>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</si>
  <si>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</si>
  <si>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</si>
  <si>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</si>
  <si>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</si>
  <si>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</si>
  <si>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</si>
  <si>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</si>
  <si>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</si>
  <si>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</si>
  <si>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</si>
  <si>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</si>
  <si>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</si>
  <si>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r>
      <rPr>
        <sz val="16"/>
        <rFont val="Calibri"/>
        <family val="1"/>
      </rPr>
      <t>T Shirt</t>
    </r>
  </si>
  <si>
    <t>Bromo - Ticket</t>
  </si>
  <si>
    <t>Escort Guide</t>
  </si>
  <si>
    <t>Driver Only</t>
  </si>
  <si>
    <t>Package Name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</si>
  <si>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</si>
  <si>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</si>
  <si>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</si>
  <si>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</si>
  <si>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</si>
  <si>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</si>
  <si>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</si>
  <si>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</si>
  <si>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</si>
  <si>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</si>
  <si>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</si>
  <si>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</si>
  <si>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</si>
  <si>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East Java to Bali Adventure: 3D2N Bromo &amp; Ijen Volcano Journey</t>
  </si>
  <si>
    <t>Breakfast Kecombrang</t>
  </si>
  <si>
    <t>B3. Madakaripura</t>
  </si>
  <si>
    <t>Madakaripura - Ticket</t>
  </si>
  <si>
    <t>1 Day Bromo Midnight Experience from Surabaya</t>
  </si>
  <si>
    <r>
      <t>Avanza</t>
    </r>
    <r>
      <rPr>
        <sz val="16"/>
        <rFont val="Calibri"/>
        <family val="2"/>
      </rPr>
      <t xml:space="preserve"> - Include Tol</t>
    </r>
  </si>
  <si>
    <t>Madakaripura - guide</t>
  </si>
  <si>
    <t>Price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</si>
</sst>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0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top" wrapText="1" indent="3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E31"/>
  <sheetViews>
    <sheetView tabSelected="1" zoomScale="70" zoomScaleNormal="70" workbookViewId="0">
      <selection activeCell="E2" sqref="E2"/>
    </sheetView>
  </sheetViews>
  <sheetFormatPr defaultColWidth="9" defaultRowHeight="12.75" x14ac:dyDescent="0.2"/>
  <cols>
    <col min="1" max="1" width="88.1640625" customWidth="1"/>
    <col min="2" max="2" width="23.1640625" customWidth="1"/>
    <col min="3" max="3" width="29.1640625" customWidth="1"/>
    <col min="4" max="4" width="24.1640625" customWidth="1"/>
    <col min="5" max="5" width="25.33203125" customWidth="1"/>
    <col min="6" max="8" width="10.83203125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26</v>
      </c>
      <c r="B1" s="2"/>
      <c r="C1" s="2" t="s">
        <v>27</v>
      </c>
      <c r="D1" s="2" t="s">
        <v>28</v>
      </c>
      <c r="E1" s="2" t="s">
        <v>47</v>
      </c>
    </row>
    <row r="2" spans="1:5" ht="27.75" customHeight="1" x14ac:dyDescent="0.2">
      <c r="A2" s="3" t="s">
        <v>44</v>
      </c>
      <c r="B2" s="3"/>
      <c r="C2" s="3">
        <v>1</v>
      </c>
      <c r="D2" s="45">
        <v>1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0</v>
      </c>
      <c r="B4" s="5" t="s">
        <v>1</v>
      </c>
      <c r="C4" s="5" t="s">
        <v>2</v>
      </c>
      <c r="D4" s="5" t="s">
        <v>29</v>
      </c>
      <c r="E4" s="5" t="s">
        <v>30</v>
      </c>
    </row>
    <row r="5" spans="1:5" ht="22.5" customHeight="1" x14ac:dyDescent="0.3">
      <c r="A5" s="6" t="s">
        <v>3</v>
      </c>
      <c r="B5" s="7"/>
      <c r="C5" s="7"/>
      <c r="D5" s="8"/>
      <c r="E5" s="8"/>
    </row>
    <row r="6" spans="1:5" ht="22.5" customHeight="1" x14ac:dyDescent="0.3">
      <c r="A6" s="6" t="s">
        <v>5</v>
      </c>
      <c r="B6" s="7"/>
      <c r="C6" s="42"/>
      <c r="D6" s="12"/>
      <c r="E6" s="41">
        <f t="shared" ref="E6:E9" si="0">C6*D6</f>
        <v>0</v>
      </c>
    </row>
    <row r="7" spans="1:5" ht="22.5" customHeight="1" x14ac:dyDescent="0.3">
      <c r="A7" s="9" t="s">
        <v>7</v>
      </c>
      <c r="B7" s="7"/>
      <c r="C7" s="43"/>
      <c r="D7" s="12"/>
      <c r="E7" s="41"/>
    </row>
    <row r="8" spans="1:5" ht="22.5" customHeight="1" x14ac:dyDescent="0.2">
      <c r="A8" s="10" t="s">
        <v>23</v>
      </c>
      <c r="B8" s="11" t="s">
        <v>6</v>
      </c>
      <c r="C8" s="41">
        <v>160000</v>
      </c>
      <c r="D8" s="12">
        <f>$D$2</f>
        <v>1</v>
      </c>
      <c r="E8" s="41">
        <f t="shared" si="0"/>
        <v>160000</v>
      </c>
    </row>
    <row r="9" spans="1:5" ht="22.5" customHeight="1" x14ac:dyDescent="0.2">
      <c r="A9" s="13" t="s">
        <v>8</v>
      </c>
      <c r="B9" s="11" t="s">
        <v>6</v>
      </c>
      <c r="C9" s="41">
        <v>500000</v>
      </c>
      <c r="D9" s="12">
        <f>ROUNDUP(D2/5,0)</f>
        <v>1</v>
      </c>
      <c r="E9" s="41">
        <f t="shared" si="0"/>
        <v>500000</v>
      </c>
    </row>
    <row r="10" spans="1:5" ht="22.5" customHeight="1" x14ac:dyDescent="0.2">
      <c r="A10" s="10" t="s">
        <v>41</v>
      </c>
      <c r="B10" s="11" t="s">
        <v>6</v>
      </c>
      <c r="C10" s="41">
        <v>50000</v>
      </c>
      <c r="D10" s="12">
        <f>$D$2</f>
        <v>1</v>
      </c>
      <c r="E10" s="41">
        <f t="shared" ref="E10" si="1">C10*D10</f>
        <v>50000</v>
      </c>
    </row>
    <row r="11" spans="1:5" ht="22.5" customHeight="1" x14ac:dyDescent="0.3">
      <c r="A11" s="46" t="s">
        <v>42</v>
      </c>
      <c r="B11" s="7"/>
      <c r="C11" s="43"/>
      <c r="D11" s="12"/>
      <c r="E11" s="41"/>
    </row>
    <row r="12" spans="1:5" ht="22.5" customHeight="1" x14ac:dyDescent="0.2">
      <c r="A12" s="10" t="s">
        <v>43</v>
      </c>
      <c r="B12" s="11" t="s">
        <v>6</v>
      </c>
      <c r="C12" s="41">
        <v>90000</v>
      </c>
      <c r="D12" s="12">
        <f>$D$2</f>
        <v>1</v>
      </c>
      <c r="E12" s="41">
        <f t="shared" ref="E12:E13" si="2">C12*D12</f>
        <v>90000</v>
      </c>
    </row>
    <row r="13" spans="1:5" ht="22.5" customHeight="1" x14ac:dyDescent="0.2">
      <c r="A13" s="10" t="s">
        <v>46</v>
      </c>
      <c r="B13" s="11" t="s">
        <v>6</v>
      </c>
      <c r="C13" s="41">
        <v>100000</v>
      </c>
      <c r="D13" s="12">
        <v>1</v>
      </c>
      <c r="E13" s="41">
        <f t="shared" si="2"/>
        <v>100000</v>
      </c>
    </row>
    <row r="14" spans="1:5" ht="22.5" customHeight="1" x14ac:dyDescent="0.3">
      <c r="A14" s="14" t="s">
        <v>9</v>
      </c>
      <c r="B14" s="7"/>
      <c r="C14" s="42"/>
      <c r="D14" s="12"/>
      <c r="E14" s="41"/>
    </row>
    <row r="15" spans="1:5" ht="22.5" customHeight="1" x14ac:dyDescent="0.3">
      <c r="A15" s="9" t="s">
        <v>10</v>
      </c>
      <c r="B15" s="7"/>
      <c r="C15" s="42"/>
      <c r="D15" s="12"/>
      <c r="E15" s="41"/>
    </row>
    <row r="16" spans="1:5" ht="22.5" customHeight="1" x14ac:dyDescent="0.2">
      <c r="A16" s="10" t="s">
        <v>45</v>
      </c>
      <c r="B16" s="11" t="s">
        <v>11</v>
      </c>
      <c r="C16" s="41">
        <v>1050000</v>
      </c>
      <c r="D16" s="12">
        <f>IF($D$2=1,$C$2, IF($D$2=2,$C$2,0))</f>
        <v>1</v>
      </c>
      <c r="E16" s="41">
        <f t="shared" ref="E16:E29" si="3">C16*D16</f>
        <v>1050000</v>
      </c>
    </row>
    <row r="17" spans="1:5" ht="22.5" customHeight="1" x14ac:dyDescent="0.2">
      <c r="A17" s="13" t="s">
        <v>12</v>
      </c>
      <c r="B17" s="11" t="s">
        <v>11</v>
      </c>
      <c r="C17" s="41">
        <v>1200000</v>
      </c>
      <c r="D17" s="12">
        <f>IF($D$2=3,$C$2, 0)</f>
        <v>0</v>
      </c>
      <c r="E17" s="41">
        <f t="shared" si="3"/>
        <v>0</v>
      </c>
    </row>
    <row r="18" spans="1:5" ht="22.5" customHeight="1" x14ac:dyDescent="0.2">
      <c r="A18" s="10" t="s">
        <v>13</v>
      </c>
      <c r="B18" s="11" t="s">
        <v>11</v>
      </c>
      <c r="C18" s="41">
        <v>1500000</v>
      </c>
      <c r="D18" s="12"/>
      <c r="E18" s="41">
        <f t="shared" si="3"/>
        <v>0</v>
      </c>
    </row>
    <row r="19" spans="1:5" ht="22.5" customHeight="1" x14ac:dyDescent="0.3">
      <c r="A19" s="9" t="s">
        <v>14</v>
      </c>
      <c r="B19" s="7"/>
      <c r="C19" s="42"/>
      <c r="D19" s="12"/>
      <c r="E19" s="41"/>
    </row>
    <row r="20" spans="1:5" ht="22.5" customHeight="1" x14ac:dyDescent="0.2">
      <c r="A20" s="13" t="s">
        <v>15</v>
      </c>
      <c r="B20" s="11" t="s">
        <v>4</v>
      </c>
      <c r="C20" s="41">
        <v>200000</v>
      </c>
      <c r="D20" s="12">
        <v>2</v>
      </c>
      <c r="E20" s="41">
        <f t="shared" si="3"/>
        <v>400000</v>
      </c>
    </row>
    <row r="21" spans="1:5" ht="22.5" customHeight="1" x14ac:dyDescent="0.3">
      <c r="A21" s="14" t="s">
        <v>16</v>
      </c>
      <c r="B21" s="7"/>
      <c r="C21" s="42"/>
      <c r="D21" s="12"/>
      <c r="E21" s="41">
        <f t="shared" si="3"/>
        <v>0</v>
      </c>
    </row>
    <row r="22" spans="1:5" ht="22.5" customHeight="1" x14ac:dyDescent="0.3">
      <c r="A22" s="9" t="s">
        <v>17</v>
      </c>
      <c r="B22" s="7"/>
      <c r="C22" s="42"/>
      <c r="D22" s="12"/>
      <c r="E22" s="41">
        <f t="shared" si="3"/>
        <v>0</v>
      </c>
    </row>
    <row r="23" spans="1:5" ht="22.5" customHeight="1" x14ac:dyDescent="0.2">
      <c r="A23" s="13" t="s">
        <v>18</v>
      </c>
      <c r="B23" s="11" t="s">
        <v>11</v>
      </c>
      <c r="C23" s="41">
        <v>250000</v>
      </c>
      <c r="D23" s="12"/>
      <c r="E23" s="41">
        <f t="shared" si="3"/>
        <v>0</v>
      </c>
    </row>
    <row r="24" spans="1:5" ht="22.5" customHeight="1" x14ac:dyDescent="0.2">
      <c r="A24" s="10" t="s">
        <v>24</v>
      </c>
      <c r="B24" s="11" t="s">
        <v>11</v>
      </c>
      <c r="C24" s="41">
        <v>250000</v>
      </c>
      <c r="D24" s="12"/>
      <c r="E24" s="41">
        <f t="shared" si="3"/>
        <v>0</v>
      </c>
    </row>
    <row r="25" spans="1:5" ht="22.5" customHeight="1" x14ac:dyDescent="0.2">
      <c r="A25" s="10" t="s">
        <v>25</v>
      </c>
      <c r="B25" s="11" t="s">
        <v>11</v>
      </c>
      <c r="C25" s="41">
        <v>200000</v>
      </c>
      <c r="D25" s="12"/>
      <c r="E25" s="41">
        <f t="shared" si="3"/>
        <v>0</v>
      </c>
    </row>
    <row r="26" spans="1:5" ht="22.5" customHeight="1" x14ac:dyDescent="0.3">
      <c r="A26" s="14" t="s">
        <v>19</v>
      </c>
      <c r="B26" s="7"/>
      <c r="C26" s="42"/>
      <c r="D26" s="12"/>
      <c r="E26" s="41">
        <f t="shared" si="3"/>
        <v>0</v>
      </c>
    </row>
    <row r="27" spans="1:5" ht="22.5" customHeight="1" x14ac:dyDescent="0.3">
      <c r="A27" s="9" t="s">
        <v>20</v>
      </c>
      <c r="B27" s="7"/>
      <c r="C27" s="42"/>
      <c r="D27" s="12"/>
      <c r="E27" s="41">
        <f t="shared" si="3"/>
        <v>0</v>
      </c>
    </row>
    <row r="28" spans="1:5" ht="22.5" customHeight="1" x14ac:dyDescent="0.2">
      <c r="A28" s="13" t="s">
        <v>21</v>
      </c>
      <c r="B28" s="11" t="s">
        <v>31</v>
      </c>
      <c r="C28" s="41">
        <v>10000</v>
      </c>
      <c r="D28" s="12">
        <f>D2</f>
        <v>1</v>
      </c>
      <c r="E28" s="41">
        <f t="shared" si="3"/>
        <v>10000</v>
      </c>
    </row>
    <row r="29" spans="1:5" ht="22.5" customHeight="1" x14ac:dyDescent="0.2">
      <c r="A29" s="13" t="s">
        <v>22</v>
      </c>
      <c r="B29" s="11" t="s">
        <v>6</v>
      </c>
      <c r="C29" s="41">
        <v>60000</v>
      </c>
      <c r="D29" s="12">
        <f>D2</f>
        <v>1</v>
      </c>
      <c r="E29" s="41">
        <f t="shared" si="3"/>
        <v>60000</v>
      </c>
    </row>
    <row r="30" spans="1:5" s="1" customFormat="1" ht="30" customHeight="1" x14ac:dyDescent="0.2">
      <c r="A30" s="16" t="s">
        <v>32</v>
      </c>
      <c r="B30" s="15"/>
      <c r="C30" s="5"/>
      <c r="D30" s="12"/>
      <c r="E30" s="44">
        <f>SUM(E6:E29)</f>
        <v>2420000</v>
      </c>
    </row>
    <row r="31" spans="1:5" ht="36" customHeight="1" x14ac:dyDescent="0.2">
      <c r="A31" s="16" t="s">
        <v>37</v>
      </c>
      <c r="B31" s="8"/>
      <c r="C31" s="8"/>
      <c r="D31" s="8"/>
      <c r="E31" s="44">
        <f>E30/D2</f>
        <v>2420000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6"/>
  <sheetViews>
    <sheetView workbookViewId="0">
      <selection activeCell="A2" sqref="A2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25.5" customHeight="1" x14ac:dyDescent="0.2">
      <c r="A1" s="38" t="s">
        <v>26</v>
      </c>
      <c r="B1" s="39"/>
      <c r="C1" s="39"/>
      <c r="D1" s="39"/>
      <c r="E1" s="38"/>
      <c r="F1" s="38"/>
      <c r="G1" s="38"/>
    </row>
    <row r="2" spans="1:7" ht="27.75" customHeight="1" x14ac:dyDescent="0.2">
      <c r="A2" s="40" t="s">
        <v>40</v>
      </c>
      <c r="B2" s="39"/>
      <c r="C2" s="39"/>
      <c r="D2" s="39"/>
      <c r="E2" s="40"/>
      <c r="F2" s="40"/>
      <c r="G2" s="40"/>
    </row>
    <row r="3" spans="1:7" ht="27.75" customHeight="1" x14ac:dyDescent="0.2">
      <c r="A3" s="37"/>
      <c r="B3" s="37"/>
      <c r="C3" s="37"/>
      <c r="D3" s="37"/>
    </row>
    <row r="4" spans="1:7" ht="15" x14ac:dyDescent="0.25">
      <c r="A4" s="17" t="s">
        <v>33</v>
      </c>
      <c r="B4" s="17" t="s">
        <v>37</v>
      </c>
      <c r="C4" s="17" t="s">
        <v>32</v>
      </c>
      <c r="D4" s="17" t="s">
        <v>38</v>
      </c>
      <c r="E4" s="17" t="s">
        <v>39</v>
      </c>
      <c r="F4" s="17" t="s">
        <v>34</v>
      </c>
      <c r="G4" s="17" t="s">
        <v>35</v>
      </c>
    </row>
    <row r="5" spans="1:7" ht="15" x14ac:dyDescent="0.25">
      <c r="A5" s="18" t="s">
        <v>36</v>
      </c>
      <c r="B5" s="19">
        <v>5066000</v>
      </c>
      <c r="C5" s="20">
        <f>B5*A5</f>
        <v>5066000</v>
      </c>
      <c r="D5" s="19">
        <v>6000000</v>
      </c>
      <c r="E5" s="19">
        <f>D5*A5</f>
        <v>6000000</v>
      </c>
      <c r="F5" s="19">
        <f t="shared" ref="F5:F15" si="0">E5-C5</f>
        <v>934000</v>
      </c>
      <c r="G5" s="19">
        <f>F5/E5*100</f>
        <v>15.566666666666668</v>
      </c>
    </row>
    <row r="6" spans="1:7" ht="15" x14ac:dyDescent="0.25">
      <c r="A6" s="21">
        <v>2</v>
      </c>
      <c r="B6" s="22">
        <v>2778500</v>
      </c>
      <c r="C6" s="23">
        <f t="shared" ref="C6:C15" si="1">B6*A6</f>
        <v>5557000</v>
      </c>
      <c r="D6" s="22">
        <v>3200000</v>
      </c>
      <c r="E6" s="22">
        <f t="shared" ref="E6:E15" si="2">D6*A6</f>
        <v>6400000</v>
      </c>
      <c r="F6" s="22">
        <f t="shared" si="0"/>
        <v>843000</v>
      </c>
      <c r="G6" s="22">
        <f t="shared" ref="G6:G15" si="3">F6/E6*100</f>
        <v>13.171875</v>
      </c>
    </row>
    <row r="7" spans="1:7" ht="15" x14ac:dyDescent="0.25">
      <c r="A7" s="24">
        <v>3</v>
      </c>
      <c r="B7" s="25">
        <v>2497666.6666666665</v>
      </c>
      <c r="C7" s="25">
        <f t="shared" si="1"/>
        <v>7493000</v>
      </c>
      <c r="D7" s="26">
        <v>2750000</v>
      </c>
      <c r="E7" s="26">
        <f t="shared" si="2"/>
        <v>8250000</v>
      </c>
      <c r="F7" s="26">
        <f t="shared" si="0"/>
        <v>757000</v>
      </c>
      <c r="G7" s="26">
        <f t="shared" si="3"/>
        <v>9.1757575757575758</v>
      </c>
    </row>
    <row r="8" spans="1:7" ht="15" x14ac:dyDescent="0.25">
      <c r="A8" s="24">
        <v>4</v>
      </c>
      <c r="B8" s="25">
        <v>2408500</v>
      </c>
      <c r="C8" s="25">
        <f t="shared" si="1"/>
        <v>9634000</v>
      </c>
      <c r="D8" s="26">
        <v>2750000</v>
      </c>
      <c r="E8" s="26">
        <f t="shared" si="2"/>
        <v>11000000</v>
      </c>
      <c r="F8" s="26">
        <f t="shared" si="0"/>
        <v>1366000</v>
      </c>
      <c r="G8" s="26">
        <f t="shared" si="3"/>
        <v>12.418181818181818</v>
      </c>
    </row>
    <row r="9" spans="1:7" ht="15" x14ac:dyDescent="0.25">
      <c r="A9" s="30">
        <v>5</v>
      </c>
      <c r="B9" s="31">
        <v>2362000</v>
      </c>
      <c r="C9" s="31">
        <f t="shared" si="1"/>
        <v>11810000</v>
      </c>
      <c r="D9" s="32">
        <v>2600000</v>
      </c>
      <c r="E9" s="32">
        <f t="shared" si="2"/>
        <v>13000000</v>
      </c>
      <c r="F9" s="32">
        <f t="shared" si="0"/>
        <v>1190000</v>
      </c>
      <c r="G9" s="32">
        <f t="shared" si="3"/>
        <v>9.1538461538461533</v>
      </c>
    </row>
    <row r="10" spans="1:7" ht="15" x14ac:dyDescent="0.25">
      <c r="A10" s="30">
        <v>6</v>
      </c>
      <c r="B10" s="31">
        <v>2058500</v>
      </c>
      <c r="C10" s="31">
        <f t="shared" si="1"/>
        <v>12351000</v>
      </c>
      <c r="D10" s="32">
        <v>2600000</v>
      </c>
      <c r="E10" s="32">
        <f t="shared" si="2"/>
        <v>15600000</v>
      </c>
      <c r="F10" s="32">
        <f t="shared" si="0"/>
        <v>3249000</v>
      </c>
      <c r="G10" s="32">
        <f t="shared" si="3"/>
        <v>20.826923076923077</v>
      </c>
    </row>
    <row r="11" spans="1:7" ht="15" x14ac:dyDescent="0.25">
      <c r="A11" s="30">
        <v>7</v>
      </c>
      <c r="B11" s="31">
        <v>2003857.142857143</v>
      </c>
      <c r="C11" s="31">
        <f t="shared" si="1"/>
        <v>14027000</v>
      </c>
      <c r="D11" s="32">
        <v>2600000</v>
      </c>
      <c r="E11" s="32">
        <f t="shared" si="2"/>
        <v>18200000</v>
      </c>
      <c r="F11" s="32">
        <f t="shared" si="0"/>
        <v>4173000</v>
      </c>
      <c r="G11" s="32">
        <f t="shared" si="3"/>
        <v>22.928571428571427</v>
      </c>
    </row>
    <row r="12" spans="1:7" ht="15" x14ac:dyDescent="0.25">
      <c r="A12" s="33">
        <v>8</v>
      </c>
      <c r="B12" s="34">
        <v>1814750</v>
      </c>
      <c r="C12" s="35">
        <f t="shared" si="1"/>
        <v>14518000</v>
      </c>
      <c r="D12" s="36">
        <v>2400000</v>
      </c>
      <c r="E12" s="36">
        <f t="shared" si="2"/>
        <v>19200000</v>
      </c>
      <c r="F12" s="36">
        <f t="shared" si="0"/>
        <v>4682000</v>
      </c>
      <c r="G12" s="36">
        <f t="shared" si="3"/>
        <v>24.385416666666668</v>
      </c>
    </row>
    <row r="13" spans="1:7" ht="15" x14ac:dyDescent="0.25">
      <c r="A13" s="33">
        <v>9</v>
      </c>
      <c r="B13" s="35">
        <v>1860444.4444444445</v>
      </c>
      <c r="C13" s="35">
        <f t="shared" si="1"/>
        <v>16744000</v>
      </c>
      <c r="D13" s="36">
        <v>2400000</v>
      </c>
      <c r="E13" s="36">
        <f t="shared" si="2"/>
        <v>21600000</v>
      </c>
      <c r="F13" s="36">
        <f t="shared" si="0"/>
        <v>4856000</v>
      </c>
      <c r="G13" s="36">
        <f t="shared" si="3"/>
        <v>22.481481481481485</v>
      </c>
    </row>
    <row r="14" spans="1:7" ht="15" x14ac:dyDescent="0.25">
      <c r="A14" s="33">
        <v>10</v>
      </c>
      <c r="B14" s="35">
        <v>1947500</v>
      </c>
      <c r="C14" s="35">
        <f t="shared" si="1"/>
        <v>19475000</v>
      </c>
      <c r="D14" s="36">
        <v>2400000</v>
      </c>
      <c r="E14" s="36">
        <f t="shared" si="2"/>
        <v>24000000</v>
      </c>
      <c r="F14" s="36">
        <f t="shared" si="0"/>
        <v>4525000</v>
      </c>
      <c r="G14" s="36">
        <f t="shared" si="3"/>
        <v>18.854166666666668</v>
      </c>
    </row>
    <row r="15" spans="1:7" ht="15" x14ac:dyDescent="0.25">
      <c r="A15" s="27">
        <v>11</v>
      </c>
      <c r="B15" s="28">
        <v>1927363.6363636365</v>
      </c>
      <c r="C15" s="28">
        <f t="shared" si="1"/>
        <v>21201000</v>
      </c>
      <c r="D15" s="29">
        <v>2250000</v>
      </c>
      <c r="E15" s="29">
        <f t="shared" si="2"/>
        <v>24750000</v>
      </c>
      <c r="F15" s="29">
        <f t="shared" si="0"/>
        <v>3549000</v>
      </c>
      <c r="G15" s="29">
        <f t="shared" si="3"/>
        <v>14.33939393939394</v>
      </c>
    </row>
    <row r="16" spans="1:7" x14ac:dyDescent="0.2">
      <c r="A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2025-11-17T08:49:38Z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