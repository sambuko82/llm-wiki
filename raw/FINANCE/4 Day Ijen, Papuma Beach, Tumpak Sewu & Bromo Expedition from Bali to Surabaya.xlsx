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4eef56aa7984708/New folder (2)/REBUILD/PACKAGE/JVTO/Expense/"/>
    </mc:Choice>
  </mc:AlternateContent>
  <xr:revisionPtr revIDLastSave="628" documentId="8_{49DE2DE6-D929-4DA0-BB4F-4F6EC9A2F1B6}" xr6:coauthVersionLast="47" xr6:coauthVersionMax="47" xr10:uidLastSave="{34E05DF4-9541-0243-B5B0-CC4A88FB8233}"/>
  <bookViews>
    <workbookView xWindow="0" yWindow="500" windowWidth="33600" windowHeight="20500" activeTab="2" xr2:uid="{00000000-000D-0000-FFFF-FFFF00000000}"/>
  </bookViews>
  <sheets>
    <sheet name="Calculation" sheetId="2" r:id="rId1"/>
    <sheet name="Summary" sheetId="3" r:id="rId2"/>
    <sheet name="1 Pax" sheetId="14" r:id="rId3"/>
    <sheet name="2 Pax" sheetId="4" r:id="rId4"/>
    <sheet name="3 Pax" sheetId="5" r:id="rId5"/>
    <sheet name="4 Pax" sheetId="6" r:id="rId6"/>
    <sheet name="5 Pax" sheetId="7" r:id="rId7"/>
    <sheet name="6 Pax" sheetId="8" r:id="rId8"/>
    <sheet name="7 Pax" sheetId="9" r:id="rId9"/>
    <sheet name="8 Pax" sheetId="10" r:id="rId10"/>
    <sheet name="9 Pax" sheetId="11" r:id="rId11"/>
    <sheet name="10 Pax" sheetId="12" r:id="rId12"/>
    <sheet name="11 Pax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E2" i="3"/>
  <c r="C2" i="3"/>
  <c r="E80" i="14"/>
  <c r="D79" i="14"/>
  <c r="E79" i="14" s="1"/>
  <c r="E78" i="14"/>
  <c r="E77" i="14"/>
  <c r="E76" i="14"/>
  <c r="D75" i="14"/>
  <c r="E75" i="14" s="1"/>
  <c r="E74" i="14"/>
  <c r="D73" i="14"/>
  <c r="E73" i="14" s="1"/>
  <c r="E72" i="14"/>
  <c r="E71" i="14"/>
  <c r="E70" i="14"/>
  <c r="D69" i="14"/>
  <c r="E69" i="14" s="1"/>
  <c r="D68" i="14"/>
  <c r="E68" i="14" s="1"/>
  <c r="E67" i="14"/>
  <c r="E66" i="14"/>
  <c r="D65" i="14"/>
  <c r="E65" i="14" s="1"/>
  <c r="D64" i="14"/>
  <c r="E64" i="14" s="1"/>
  <c r="E63" i="14"/>
  <c r="E62" i="14"/>
  <c r="E61" i="14"/>
  <c r="E60" i="14"/>
  <c r="D59" i="14"/>
  <c r="E59" i="14" s="1"/>
  <c r="D57" i="14"/>
  <c r="E57" i="14" s="1"/>
  <c r="E56" i="14"/>
  <c r="D55" i="14"/>
  <c r="E55" i="14" s="1"/>
  <c r="D54" i="14"/>
  <c r="E54" i="14" s="1"/>
  <c r="D53" i="14"/>
  <c r="E53" i="14" s="1"/>
  <c r="D50" i="14"/>
  <c r="E50" i="14" s="1"/>
  <c r="D49" i="14"/>
  <c r="E49" i="14" s="1"/>
  <c r="E48" i="14"/>
  <c r="D47" i="14"/>
  <c r="E47" i="14" s="1"/>
  <c r="E46" i="14"/>
  <c r="D45" i="14"/>
  <c r="E45" i="14" s="1"/>
  <c r="D44" i="14"/>
  <c r="E44" i="14" s="1"/>
  <c r="E42" i="14"/>
  <c r="E41" i="14"/>
  <c r="D40" i="14"/>
  <c r="E40" i="14" s="1"/>
  <c r="E39" i="14"/>
  <c r="E38" i="14"/>
  <c r="E37" i="14"/>
  <c r="E36" i="14"/>
  <c r="D36" i="14"/>
  <c r="E35" i="14"/>
  <c r="D34" i="14"/>
  <c r="E34" i="14" s="1"/>
  <c r="E33" i="14"/>
  <c r="E32" i="14"/>
  <c r="E31" i="14"/>
  <c r="E30" i="14"/>
  <c r="E29" i="14"/>
  <c r="E28" i="14"/>
  <c r="D27" i="14"/>
  <c r="E27" i="14" s="1"/>
  <c r="E26" i="14"/>
  <c r="E25" i="14"/>
  <c r="E24" i="14"/>
  <c r="E23" i="14"/>
  <c r="E22" i="14"/>
  <c r="D22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D7" i="14"/>
  <c r="E7" i="14" s="1"/>
  <c r="B12" i="3"/>
  <c r="C12" i="3" s="1"/>
  <c r="E80" i="13"/>
  <c r="D79" i="13"/>
  <c r="E79" i="13" s="1"/>
  <c r="E78" i="13"/>
  <c r="E77" i="13"/>
  <c r="E76" i="13"/>
  <c r="E75" i="13"/>
  <c r="D75" i="13"/>
  <c r="E74" i="13"/>
  <c r="D73" i="13"/>
  <c r="E73" i="13" s="1"/>
  <c r="E72" i="13"/>
  <c r="E71" i="13"/>
  <c r="E70" i="13"/>
  <c r="D69" i="13"/>
  <c r="E69" i="13" s="1"/>
  <c r="D68" i="13"/>
  <c r="E68" i="13" s="1"/>
  <c r="E67" i="13"/>
  <c r="E66" i="13"/>
  <c r="D65" i="13"/>
  <c r="E65" i="13" s="1"/>
  <c r="D64" i="13"/>
  <c r="E64" i="13" s="1"/>
  <c r="E63" i="13"/>
  <c r="E62" i="13"/>
  <c r="E61" i="13"/>
  <c r="E60" i="13"/>
  <c r="D59" i="13"/>
  <c r="E59" i="13" s="1"/>
  <c r="E57" i="13"/>
  <c r="E56" i="13"/>
  <c r="D55" i="13"/>
  <c r="E55" i="13" s="1"/>
  <c r="D54" i="13"/>
  <c r="E54" i="13" s="1"/>
  <c r="E53" i="13"/>
  <c r="D53" i="13"/>
  <c r="D50" i="13"/>
  <c r="E50" i="13" s="1"/>
  <c r="D49" i="13"/>
  <c r="E49" i="13" s="1"/>
  <c r="E48" i="13"/>
  <c r="D47" i="13"/>
  <c r="E47" i="13" s="1"/>
  <c r="E46" i="13"/>
  <c r="D45" i="13"/>
  <c r="E45" i="13" s="1"/>
  <c r="D44" i="13"/>
  <c r="E44" i="13" s="1"/>
  <c r="E42" i="13"/>
  <c r="E41" i="13"/>
  <c r="D40" i="13"/>
  <c r="E40" i="13" s="1"/>
  <c r="E39" i="13"/>
  <c r="E38" i="13"/>
  <c r="E37" i="13"/>
  <c r="E36" i="13"/>
  <c r="D36" i="13"/>
  <c r="E35" i="13"/>
  <c r="E34" i="13"/>
  <c r="D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B11" i="3"/>
  <c r="C11" i="3" s="1"/>
  <c r="E80" i="12"/>
  <c r="D79" i="12"/>
  <c r="E79" i="12" s="1"/>
  <c r="E78" i="12"/>
  <c r="E77" i="12"/>
  <c r="E76" i="12"/>
  <c r="D75" i="12"/>
  <c r="E75" i="12" s="1"/>
  <c r="E74" i="12"/>
  <c r="D73" i="12"/>
  <c r="E73" i="12" s="1"/>
  <c r="E72" i="12"/>
  <c r="E71" i="12"/>
  <c r="E70" i="12"/>
  <c r="D69" i="12"/>
  <c r="E69" i="12" s="1"/>
  <c r="D68" i="12"/>
  <c r="E68" i="12" s="1"/>
  <c r="E67" i="12"/>
  <c r="E66" i="12"/>
  <c r="D65" i="12"/>
  <c r="E65" i="12" s="1"/>
  <c r="D64" i="12"/>
  <c r="E64" i="12" s="1"/>
  <c r="E63" i="12"/>
  <c r="E62" i="12"/>
  <c r="E61" i="12"/>
  <c r="E60" i="12"/>
  <c r="D59" i="12"/>
  <c r="E59" i="12" s="1"/>
  <c r="E57" i="12"/>
  <c r="E56" i="12"/>
  <c r="D55" i="12"/>
  <c r="E55" i="12" s="1"/>
  <c r="E54" i="12"/>
  <c r="D54" i="12"/>
  <c r="E53" i="12"/>
  <c r="D53" i="12"/>
  <c r="D50" i="12"/>
  <c r="E50" i="12" s="1"/>
  <c r="D49" i="12"/>
  <c r="E49" i="12" s="1"/>
  <c r="E48" i="12"/>
  <c r="D47" i="12"/>
  <c r="E47" i="12" s="1"/>
  <c r="E46" i="12"/>
  <c r="D45" i="12"/>
  <c r="E45" i="12" s="1"/>
  <c r="D44" i="12"/>
  <c r="E44" i="12" s="1"/>
  <c r="E42" i="12"/>
  <c r="E41" i="12"/>
  <c r="E40" i="12"/>
  <c r="D40" i="12"/>
  <c r="E39" i="12"/>
  <c r="E38" i="12"/>
  <c r="E37" i="12"/>
  <c r="D36" i="12"/>
  <c r="E36" i="12" s="1"/>
  <c r="E35" i="12"/>
  <c r="D34" i="12"/>
  <c r="E34" i="12" s="1"/>
  <c r="E33" i="12"/>
  <c r="E32" i="12"/>
  <c r="E31" i="12"/>
  <c r="E30" i="12"/>
  <c r="E29" i="12"/>
  <c r="E28" i="12"/>
  <c r="D27" i="12"/>
  <c r="E27" i="12" s="1"/>
  <c r="E26" i="12"/>
  <c r="E25" i="12"/>
  <c r="E24" i="12"/>
  <c r="E23" i="12"/>
  <c r="D22" i="12"/>
  <c r="E22" i="12" s="1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D7" i="12"/>
  <c r="E7" i="12" s="1"/>
  <c r="B10" i="3"/>
  <c r="C10" i="3" s="1"/>
  <c r="E80" i="11"/>
  <c r="D79" i="11"/>
  <c r="E79" i="11" s="1"/>
  <c r="E78" i="11"/>
  <c r="E77" i="11"/>
  <c r="E76" i="11"/>
  <c r="D75" i="11"/>
  <c r="E75" i="11" s="1"/>
  <c r="E74" i="11"/>
  <c r="D73" i="11"/>
  <c r="E73" i="11" s="1"/>
  <c r="E72" i="11"/>
  <c r="E71" i="11"/>
  <c r="E70" i="11"/>
  <c r="D69" i="11"/>
  <c r="E69" i="11" s="1"/>
  <c r="D68" i="11"/>
  <c r="E68" i="11" s="1"/>
  <c r="E67" i="11"/>
  <c r="E66" i="11"/>
  <c r="D65" i="11"/>
  <c r="E65" i="11" s="1"/>
  <c r="D64" i="11"/>
  <c r="E64" i="11" s="1"/>
  <c r="E63" i="11"/>
  <c r="E62" i="11"/>
  <c r="E61" i="11"/>
  <c r="E60" i="11"/>
  <c r="D59" i="11"/>
  <c r="E59" i="11" s="1"/>
  <c r="D57" i="11"/>
  <c r="E57" i="11" s="1"/>
  <c r="E56" i="11"/>
  <c r="D55" i="11"/>
  <c r="E55" i="11" s="1"/>
  <c r="E54" i="11"/>
  <c r="D54" i="11"/>
  <c r="D53" i="11"/>
  <c r="E53" i="11" s="1"/>
  <c r="D50" i="11"/>
  <c r="E50" i="11" s="1"/>
  <c r="D49" i="11"/>
  <c r="E49" i="11" s="1"/>
  <c r="E48" i="11"/>
  <c r="D47" i="11"/>
  <c r="E47" i="11" s="1"/>
  <c r="E46" i="11"/>
  <c r="D45" i="11"/>
  <c r="E45" i="11" s="1"/>
  <c r="D44" i="11"/>
  <c r="E44" i="11" s="1"/>
  <c r="E42" i="11"/>
  <c r="E41" i="11"/>
  <c r="D40" i="11"/>
  <c r="E40" i="11" s="1"/>
  <c r="E39" i="11"/>
  <c r="E38" i="11"/>
  <c r="E37" i="11"/>
  <c r="D36" i="11"/>
  <c r="E36" i="11" s="1"/>
  <c r="E35" i="11"/>
  <c r="D34" i="11"/>
  <c r="E34" i="11" s="1"/>
  <c r="E33" i="11"/>
  <c r="E32" i="11"/>
  <c r="E31" i="11"/>
  <c r="E30" i="11"/>
  <c r="E29" i="11"/>
  <c r="E28" i="11"/>
  <c r="E27" i="11"/>
  <c r="E26" i="11"/>
  <c r="E25" i="11"/>
  <c r="E24" i="11"/>
  <c r="E23" i="11"/>
  <c r="E22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B9" i="3"/>
  <c r="C9" i="3" s="1"/>
  <c r="E80" i="10"/>
  <c r="D79" i="10"/>
  <c r="E79" i="10" s="1"/>
  <c r="E78" i="10"/>
  <c r="E77" i="10"/>
  <c r="E76" i="10"/>
  <c r="D75" i="10"/>
  <c r="E75" i="10" s="1"/>
  <c r="E74" i="10"/>
  <c r="D73" i="10"/>
  <c r="E73" i="10" s="1"/>
  <c r="E72" i="10"/>
  <c r="E71" i="10"/>
  <c r="E70" i="10"/>
  <c r="D69" i="10"/>
  <c r="E69" i="10" s="1"/>
  <c r="D68" i="10"/>
  <c r="E68" i="10" s="1"/>
  <c r="E67" i="10"/>
  <c r="E66" i="10"/>
  <c r="D65" i="10"/>
  <c r="E65" i="10" s="1"/>
  <c r="D64" i="10"/>
  <c r="E64" i="10" s="1"/>
  <c r="E63" i="10"/>
  <c r="E62" i="10"/>
  <c r="E61" i="10"/>
  <c r="E60" i="10"/>
  <c r="D59" i="10"/>
  <c r="E59" i="10" s="1"/>
  <c r="D57" i="10"/>
  <c r="E57" i="10" s="1"/>
  <c r="E56" i="10"/>
  <c r="D55" i="10"/>
  <c r="E55" i="10" s="1"/>
  <c r="D54" i="10"/>
  <c r="E54" i="10" s="1"/>
  <c r="D53" i="10"/>
  <c r="E53" i="10" s="1"/>
  <c r="E50" i="10"/>
  <c r="D50" i="10"/>
  <c r="D49" i="10"/>
  <c r="E49" i="10" s="1"/>
  <c r="E48" i="10"/>
  <c r="D47" i="10"/>
  <c r="E47" i="10" s="1"/>
  <c r="E46" i="10"/>
  <c r="D45" i="10"/>
  <c r="E45" i="10" s="1"/>
  <c r="D44" i="10"/>
  <c r="E44" i="10" s="1"/>
  <c r="E42" i="10"/>
  <c r="E41" i="10"/>
  <c r="D40" i="10"/>
  <c r="E40" i="10" s="1"/>
  <c r="E39" i="10"/>
  <c r="E38" i="10"/>
  <c r="E37" i="10"/>
  <c r="E36" i="10"/>
  <c r="D36" i="10"/>
  <c r="E35" i="10"/>
  <c r="D34" i="10"/>
  <c r="E34" i="10" s="1"/>
  <c r="E33" i="10"/>
  <c r="E32" i="10"/>
  <c r="E31" i="10"/>
  <c r="E30" i="10"/>
  <c r="E29" i="10"/>
  <c r="E28" i="10"/>
  <c r="D27" i="10"/>
  <c r="E27" i="10" s="1"/>
  <c r="E26" i="10"/>
  <c r="E25" i="10"/>
  <c r="E24" i="10"/>
  <c r="E23" i="10"/>
  <c r="D22" i="10"/>
  <c r="E22" i="10" s="1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D7" i="10"/>
  <c r="E7" i="10" s="1"/>
  <c r="B8" i="3"/>
  <c r="C8" i="3" s="1"/>
  <c r="E80" i="9"/>
  <c r="D79" i="9"/>
  <c r="E79" i="9" s="1"/>
  <c r="E78" i="9"/>
  <c r="E77" i="9"/>
  <c r="E76" i="9"/>
  <c r="D75" i="9"/>
  <c r="E75" i="9" s="1"/>
  <c r="E74" i="9"/>
  <c r="D73" i="9"/>
  <c r="E73" i="9" s="1"/>
  <c r="E72" i="9"/>
  <c r="E71" i="9"/>
  <c r="E70" i="9"/>
  <c r="D69" i="9"/>
  <c r="E69" i="9" s="1"/>
  <c r="D68" i="9"/>
  <c r="E68" i="9" s="1"/>
  <c r="E67" i="9"/>
  <c r="E66" i="9"/>
  <c r="D65" i="9"/>
  <c r="E65" i="9" s="1"/>
  <c r="D64" i="9"/>
  <c r="E64" i="9" s="1"/>
  <c r="E63" i="9"/>
  <c r="E62" i="9"/>
  <c r="E61" i="9"/>
  <c r="E60" i="9"/>
  <c r="D59" i="9"/>
  <c r="E59" i="9" s="1"/>
  <c r="D57" i="9"/>
  <c r="E57" i="9" s="1"/>
  <c r="E56" i="9"/>
  <c r="D55" i="9"/>
  <c r="E55" i="9" s="1"/>
  <c r="E54" i="9"/>
  <c r="D54" i="9"/>
  <c r="D53" i="9"/>
  <c r="E53" i="9" s="1"/>
  <c r="D50" i="9"/>
  <c r="E50" i="9" s="1"/>
  <c r="D49" i="9"/>
  <c r="E49" i="9" s="1"/>
  <c r="E48" i="9"/>
  <c r="D47" i="9"/>
  <c r="E47" i="9" s="1"/>
  <c r="E46" i="9"/>
  <c r="D45" i="9"/>
  <c r="E45" i="9" s="1"/>
  <c r="D44" i="9"/>
  <c r="E44" i="9" s="1"/>
  <c r="E42" i="9"/>
  <c r="E41" i="9"/>
  <c r="D40" i="9"/>
  <c r="E40" i="9" s="1"/>
  <c r="E39" i="9"/>
  <c r="E38" i="9"/>
  <c r="E37" i="9"/>
  <c r="D36" i="9"/>
  <c r="E36" i="9" s="1"/>
  <c r="E35" i="9"/>
  <c r="D34" i="9"/>
  <c r="E34" i="9" s="1"/>
  <c r="E33" i="9"/>
  <c r="E32" i="9"/>
  <c r="E31" i="9"/>
  <c r="E30" i="9"/>
  <c r="E29" i="9"/>
  <c r="E28" i="9"/>
  <c r="E27" i="9"/>
  <c r="E26" i="9"/>
  <c r="E25" i="9"/>
  <c r="E24" i="9"/>
  <c r="E23" i="9"/>
  <c r="E22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B7" i="3"/>
  <c r="C7" i="3" s="1"/>
  <c r="E80" i="8"/>
  <c r="E79" i="8"/>
  <c r="D79" i="8"/>
  <c r="E78" i="8"/>
  <c r="E77" i="8"/>
  <c r="E76" i="8"/>
  <c r="D75" i="8"/>
  <c r="E75" i="8" s="1"/>
  <c r="E74" i="8"/>
  <c r="D73" i="8"/>
  <c r="E73" i="8" s="1"/>
  <c r="E72" i="8"/>
  <c r="E71" i="8"/>
  <c r="E70" i="8"/>
  <c r="D69" i="8"/>
  <c r="E69" i="8" s="1"/>
  <c r="D68" i="8"/>
  <c r="E68" i="8" s="1"/>
  <c r="E67" i="8"/>
  <c r="E66" i="8"/>
  <c r="D65" i="8"/>
  <c r="E65" i="8" s="1"/>
  <c r="D64" i="8"/>
  <c r="E64" i="8" s="1"/>
  <c r="E63" i="8"/>
  <c r="E62" i="8"/>
  <c r="E61" i="8"/>
  <c r="E60" i="8"/>
  <c r="D59" i="8"/>
  <c r="E59" i="8" s="1"/>
  <c r="D57" i="8"/>
  <c r="E57" i="8" s="1"/>
  <c r="E56" i="8"/>
  <c r="D55" i="8"/>
  <c r="E55" i="8" s="1"/>
  <c r="D54" i="8"/>
  <c r="E54" i="8" s="1"/>
  <c r="D53" i="8"/>
  <c r="E53" i="8" s="1"/>
  <c r="D50" i="8"/>
  <c r="E50" i="8" s="1"/>
  <c r="E49" i="8"/>
  <c r="D49" i="8"/>
  <c r="E48" i="8"/>
  <c r="D47" i="8"/>
  <c r="E47" i="8" s="1"/>
  <c r="E46" i="8"/>
  <c r="D45" i="8"/>
  <c r="E45" i="8" s="1"/>
  <c r="D44" i="8"/>
  <c r="E44" i="8" s="1"/>
  <c r="E42" i="8"/>
  <c r="E41" i="8"/>
  <c r="D40" i="8"/>
  <c r="E40" i="8" s="1"/>
  <c r="E39" i="8"/>
  <c r="E38" i="8"/>
  <c r="E37" i="8"/>
  <c r="D36" i="8"/>
  <c r="E36" i="8" s="1"/>
  <c r="E35" i="8"/>
  <c r="D34" i="8"/>
  <c r="E34" i="8" s="1"/>
  <c r="E33" i="8"/>
  <c r="E32" i="8"/>
  <c r="E31" i="8"/>
  <c r="E30" i="8"/>
  <c r="E29" i="8"/>
  <c r="E28" i="8"/>
  <c r="D27" i="8"/>
  <c r="E27" i="8" s="1"/>
  <c r="E26" i="8"/>
  <c r="E25" i="8"/>
  <c r="E24" i="8"/>
  <c r="E23" i="8"/>
  <c r="D22" i="8"/>
  <c r="E22" i="8" s="1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D7" i="8"/>
  <c r="E7" i="8" s="1"/>
  <c r="B6" i="3"/>
  <c r="C6" i="3" s="1"/>
  <c r="E80" i="7"/>
  <c r="D79" i="7"/>
  <c r="E79" i="7" s="1"/>
  <c r="E78" i="7"/>
  <c r="E77" i="7"/>
  <c r="E76" i="7"/>
  <c r="D75" i="7"/>
  <c r="E75" i="7" s="1"/>
  <c r="E74" i="7"/>
  <c r="D73" i="7"/>
  <c r="E73" i="7" s="1"/>
  <c r="E72" i="7"/>
  <c r="E71" i="7"/>
  <c r="E70" i="7"/>
  <c r="D69" i="7"/>
  <c r="E69" i="7" s="1"/>
  <c r="D68" i="7"/>
  <c r="E68" i="7" s="1"/>
  <c r="E67" i="7"/>
  <c r="E66" i="7"/>
  <c r="D65" i="7"/>
  <c r="E65" i="7" s="1"/>
  <c r="D64" i="7"/>
  <c r="E64" i="7" s="1"/>
  <c r="E63" i="7"/>
  <c r="E62" i="7"/>
  <c r="E61" i="7"/>
  <c r="E60" i="7"/>
  <c r="D59" i="7"/>
  <c r="E59" i="7" s="1"/>
  <c r="D57" i="7"/>
  <c r="E57" i="7" s="1"/>
  <c r="E56" i="7"/>
  <c r="D55" i="7"/>
  <c r="E55" i="7" s="1"/>
  <c r="D54" i="7"/>
  <c r="E54" i="7" s="1"/>
  <c r="D53" i="7"/>
  <c r="E53" i="7" s="1"/>
  <c r="E50" i="7"/>
  <c r="D50" i="7"/>
  <c r="D49" i="7"/>
  <c r="E49" i="7" s="1"/>
  <c r="E48" i="7"/>
  <c r="D47" i="7"/>
  <c r="E47" i="7" s="1"/>
  <c r="E46" i="7"/>
  <c r="D45" i="7"/>
  <c r="E45" i="7" s="1"/>
  <c r="D44" i="7"/>
  <c r="E44" i="7" s="1"/>
  <c r="E42" i="7"/>
  <c r="E41" i="7"/>
  <c r="E40" i="7"/>
  <c r="D40" i="7"/>
  <c r="E39" i="7"/>
  <c r="E38" i="7"/>
  <c r="E37" i="7"/>
  <c r="D36" i="7"/>
  <c r="E36" i="7" s="1"/>
  <c r="E35" i="7"/>
  <c r="D34" i="7"/>
  <c r="E34" i="7" s="1"/>
  <c r="E33" i="7"/>
  <c r="E32" i="7"/>
  <c r="E31" i="7"/>
  <c r="E30" i="7"/>
  <c r="E29" i="7"/>
  <c r="E28" i="7"/>
  <c r="E27" i="7"/>
  <c r="E26" i="7"/>
  <c r="E25" i="7"/>
  <c r="E24" i="7"/>
  <c r="E23" i="7"/>
  <c r="E22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B5" i="3"/>
  <c r="C5" i="3" s="1"/>
  <c r="E80" i="6"/>
  <c r="D79" i="6"/>
  <c r="E79" i="6" s="1"/>
  <c r="E78" i="6"/>
  <c r="E77" i="6"/>
  <c r="E76" i="6"/>
  <c r="D75" i="6"/>
  <c r="E75" i="6" s="1"/>
  <c r="E74" i="6"/>
  <c r="D73" i="6"/>
  <c r="E73" i="6" s="1"/>
  <c r="E72" i="6"/>
  <c r="E71" i="6"/>
  <c r="E70" i="6"/>
  <c r="D69" i="6"/>
  <c r="E69" i="6" s="1"/>
  <c r="D68" i="6"/>
  <c r="E68" i="6" s="1"/>
  <c r="E67" i="6"/>
  <c r="E66" i="6"/>
  <c r="D65" i="6"/>
  <c r="E65" i="6" s="1"/>
  <c r="D64" i="6"/>
  <c r="E64" i="6" s="1"/>
  <c r="E63" i="6"/>
  <c r="E62" i="6"/>
  <c r="E61" i="6"/>
  <c r="E60" i="6"/>
  <c r="D59" i="6"/>
  <c r="E59" i="6" s="1"/>
  <c r="D57" i="6"/>
  <c r="E57" i="6" s="1"/>
  <c r="E56" i="6"/>
  <c r="D55" i="6"/>
  <c r="E55" i="6" s="1"/>
  <c r="D54" i="6"/>
  <c r="E54" i="6" s="1"/>
  <c r="D53" i="6"/>
  <c r="E53" i="6" s="1"/>
  <c r="D50" i="6"/>
  <c r="E50" i="6" s="1"/>
  <c r="D49" i="6"/>
  <c r="E49" i="6" s="1"/>
  <c r="E48" i="6"/>
  <c r="D47" i="6"/>
  <c r="E47" i="6" s="1"/>
  <c r="E46" i="6"/>
  <c r="D45" i="6"/>
  <c r="E45" i="6" s="1"/>
  <c r="D44" i="6"/>
  <c r="E44" i="6" s="1"/>
  <c r="E42" i="6"/>
  <c r="E41" i="6"/>
  <c r="E40" i="6"/>
  <c r="D40" i="6"/>
  <c r="E39" i="6"/>
  <c r="E38" i="6"/>
  <c r="E37" i="6"/>
  <c r="D36" i="6"/>
  <c r="E36" i="6" s="1"/>
  <c r="E35" i="6"/>
  <c r="D34" i="6"/>
  <c r="E34" i="6" s="1"/>
  <c r="E33" i="6"/>
  <c r="E32" i="6"/>
  <c r="E31" i="6"/>
  <c r="E30" i="6"/>
  <c r="E29" i="6"/>
  <c r="E28" i="6"/>
  <c r="D27" i="6"/>
  <c r="E27" i="6" s="1"/>
  <c r="E26" i="6"/>
  <c r="E25" i="6"/>
  <c r="E24" i="6"/>
  <c r="E23" i="6"/>
  <c r="D22" i="6"/>
  <c r="E22" i="6" s="1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D7" i="6"/>
  <c r="E7" i="6" s="1"/>
  <c r="B4" i="3"/>
  <c r="C4" i="3" s="1"/>
  <c r="E80" i="5"/>
  <c r="D79" i="5"/>
  <c r="E79" i="5" s="1"/>
  <c r="E78" i="5"/>
  <c r="E77" i="5"/>
  <c r="E76" i="5"/>
  <c r="D75" i="5"/>
  <c r="E75" i="5" s="1"/>
  <c r="E74" i="5"/>
  <c r="D73" i="5"/>
  <c r="E73" i="5" s="1"/>
  <c r="E72" i="5"/>
  <c r="E71" i="5"/>
  <c r="E70" i="5"/>
  <c r="D69" i="5"/>
  <c r="E69" i="5" s="1"/>
  <c r="D68" i="5"/>
  <c r="E68" i="5" s="1"/>
  <c r="E67" i="5"/>
  <c r="E66" i="5"/>
  <c r="D65" i="5"/>
  <c r="E65" i="5" s="1"/>
  <c r="D64" i="5"/>
  <c r="E64" i="5" s="1"/>
  <c r="E63" i="5"/>
  <c r="E62" i="5"/>
  <c r="E61" i="5"/>
  <c r="E60" i="5"/>
  <c r="D59" i="5"/>
  <c r="E59" i="5" s="1"/>
  <c r="D57" i="5"/>
  <c r="E57" i="5" s="1"/>
  <c r="E56" i="5"/>
  <c r="D55" i="5"/>
  <c r="E55" i="5" s="1"/>
  <c r="E54" i="5"/>
  <c r="E53" i="5"/>
  <c r="E50" i="5"/>
  <c r="D50" i="5"/>
  <c r="D49" i="5"/>
  <c r="E49" i="5" s="1"/>
  <c r="E48" i="5"/>
  <c r="D47" i="5"/>
  <c r="E47" i="5" s="1"/>
  <c r="E46" i="5"/>
  <c r="D45" i="5"/>
  <c r="E45" i="5" s="1"/>
  <c r="D44" i="5"/>
  <c r="E44" i="5" s="1"/>
  <c r="E42" i="5"/>
  <c r="E41" i="5"/>
  <c r="D40" i="5"/>
  <c r="E40" i="5" s="1"/>
  <c r="E39" i="5"/>
  <c r="E38" i="5"/>
  <c r="E37" i="5"/>
  <c r="D36" i="5"/>
  <c r="E36" i="5" s="1"/>
  <c r="E35" i="5"/>
  <c r="D34" i="5"/>
  <c r="E34" i="5" s="1"/>
  <c r="E33" i="5"/>
  <c r="E32" i="5"/>
  <c r="E31" i="5"/>
  <c r="E30" i="5"/>
  <c r="E29" i="5"/>
  <c r="E28" i="5"/>
  <c r="E27" i="5"/>
  <c r="E26" i="5"/>
  <c r="E25" i="5"/>
  <c r="E24" i="5"/>
  <c r="E23" i="5"/>
  <c r="E22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80" i="4"/>
  <c r="D79" i="4"/>
  <c r="E79" i="4" s="1"/>
  <c r="E78" i="4"/>
  <c r="E77" i="4"/>
  <c r="E76" i="4"/>
  <c r="E75" i="4"/>
  <c r="D75" i="4"/>
  <c r="E74" i="4"/>
  <c r="D73" i="4"/>
  <c r="E73" i="4" s="1"/>
  <c r="E72" i="4"/>
  <c r="E71" i="4"/>
  <c r="E70" i="4"/>
  <c r="E69" i="4"/>
  <c r="D69" i="4"/>
  <c r="E68" i="4"/>
  <c r="D68" i="4"/>
  <c r="E67" i="4"/>
  <c r="E66" i="4"/>
  <c r="D65" i="4"/>
  <c r="E65" i="4" s="1"/>
  <c r="E64" i="4"/>
  <c r="D64" i="4"/>
  <c r="E63" i="4"/>
  <c r="E62" i="4"/>
  <c r="E61" i="4"/>
  <c r="E60" i="4"/>
  <c r="D59" i="4"/>
  <c r="E59" i="4" s="1"/>
  <c r="E57" i="4"/>
  <c r="D57" i="4"/>
  <c r="E56" i="4"/>
  <c r="D55" i="4"/>
  <c r="E55" i="4" s="1"/>
  <c r="E54" i="4"/>
  <c r="D54" i="4"/>
  <c r="E53" i="4"/>
  <c r="D53" i="4"/>
  <c r="D50" i="4"/>
  <c r="E50" i="4" s="1"/>
  <c r="D49" i="4"/>
  <c r="E49" i="4" s="1"/>
  <c r="E48" i="4"/>
  <c r="D47" i="4"/>
  <c r="E47" i="4" s="1"/>
  <c r="E46" i="4"/>
  <c r="D45" i="4"/>
  <c r="E45" i="4" s="1"/>
  <c r="D44" i="4"/>
  <c r="E44" i="4" s="1"/>
  <c r="E42" i="4"/>
  <c r="E41" i="4"/>
  <c r="E40" i="4"/>
  <c r="D40" i="4"/>
  <c r="E39" i="4"/>
  <c r="E38" i="4"/>
  <c r="E37" i="4"/>
  <c r="D36" i="4"/>
  <c r="E36" i="4" s="1"/>
  <c r="E35" i="4"/>
  <c r="E34" i="4"/>
  <c r="D34" i="4"/>
  <c r="E33" i="4"/>
  <c r="E32" i="4"/>
  <c r="E31" i="4"/>
  <c r="E30" i="4"/>
  <c r="E29" i="4"/>
  <c r="E28" i="4"/>
  <c r="E27" i="4"/>
  <c r="D27" i="4"/>
  <c r="E26" i="4"/>
  <c r="E25" i="4"/>
  <c r="E24" i="4"/>
  <c r="E23" i="4"/>
  <c r="E22" i="4"/>
  <c r="D22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D7" i="4"/>
  <c r="E7" i="4" s="1"/>
  <c r="E8" i="2"/>
  <c r="D40" i="2"/>
  <c r="E40" i="2" s="1"/>
  <c r="D73" i="2"/>
  <c r="E73" i="2" s="1"/>
  <c r="D50" i="2"/>
  <c r="E50" i="2" s="1"/>
  <c r="E38" i="2"/>
  <c r="D36" i="2"/>
  <c r="E36" i="2" s="1"/>
  <c r="D34" i="2"/>
  <c r="E34" i="2" s="1"/>
  <c r="D27" i="2"/>
  <c r="E27" i="2" s="1"/>
  <c r="E9" i="2"/>
  <c r="D7" i="2"/>
  <c r="E7" i="2" s="1"/>
  <c r="D49" i="2"/>
  <c r="E49" i="2" s="1"/>
  <c r="D47" i="2"/>
  <c r="E47" i="2" s="1"/>
  <c r="D79" i="2"/>
  <c r="E79" i="2" s="1"/>
  <c r="D64" i="2"/>
  <c r="E64" i="2" s="1"/>
  <c r="D65" i="2"/>
  <c r="E65" i="2" s="1"/>
  <c r="D59" i="2"/>
  <c r="E59" i="2" s="1"/>
  <c r="D68" i="2"/>
  <c r="E68" i="2" s="1"/>
  <c r="D57" i="2"/>
  <c r="E57" i="2" s="1"/>
  <c r="D55" i="2"/>
  <c r="E55" i="2" s="1"/>
  <c r="D69" i="2"/>
  <c r="E69" i="2" s="1"/>
  <c r="D54" i="2"/>
  <c r="E54" i="2" s="1"/>
  <c r="E3" i="3"/>
  <c r="E4" i="3"/>
  <c r="E5" i="3"/>
  <c r="E6" i="3"/>
  <c r="E7" i="3"/>
  <c r="E8" i="3"/>
  <c r="E9" i="3"/>
  <c r="E10" i="3"/>
  <c r="E11" i="3"/>
  <c r="E12" i="3"/>
  <c r="D75" i="2"/>
  <c r="E75" i="2" s="1"/>
  <c r="D53" i="2"/>
  <c r="E53" i="2" s="1"/>
  <c r="E80" i="2"/>
  <c r="E11" i="2"/>
  <c r="E12" i="2"/>
  <c r="E13" i="2"/>
  <c r="E14" i="2"/>
  <c r="E15" i="2"/>
  <c r="E16" i="2"/>
  <c r="E17" i="2"/>
  <c r="E18" i="2"/>
  <c r="E19" i="2"/>
  <c r="E20" i="2"/>
  <c r="E23" i="2"/>
  <c r="E24" i="2"/>
  <c r="E25" i="2"/>
  <c r="E26" i="2"/>
  <c r="E28" i="2"/>
  <c r="E29" i="2"/>
  <c r="E30" i="2"/>
  <c r="E31" i="2"/>
  <c r="E32" i="2"/>
  <c r="E33" i="2"/>
  <c r="E35" i="2"/>
  <c r="E37" i="2"/>
  <c r="E41" i="2"/>
  <c r="E42" i="2"/>
  <c r="E46" i="2"/>
  <c r="E48" i="2"/>
  <c r="E56" i="2"/>
  <c r="E60" i="2"/>
  <c r="E61" i="2"/>
  <c r="E62" i="2"/>
  <c r="E63" i="2"/>
  <c r="E66" i="2"/>
  <c r="E67" i="2"/>
  <c r="E70" i="2"/>
  <c r="E71" i="2"/>
  <c r="E72" i="2"/>
  <c r="E74" i="2"/>
  <c r="E76" i="2"/>
  <c r="E77" i="2"/>
  <c r="E78" i="2"/>
  <c r="D45" i="2"/>
  <c r="E45" i="2" s="1"/>
  <c r="D44" i="2"/>
  <c r="E44" i="2" s="1"/>
  <c r="E39" i="2"/>
  <c r="D22" i="2"/>
  <c r="E22" i="2" s="1"/>
  <c r="E10" i="2"/>
  <c r="F2" i="3" l="1"/>
  <c r="G2" i="3" s="1"/>
  <c r="E81" i="14"/>
  <c r="E82" i="14" s="1"/>
  <c r="E81" i="13"/>
  <c r="E82" i="13" s="1"/>
  <c r="E81" i="12"/>
  <c r="E82" i="12" s="1"/>
  <c r="E81" i="11"/>
  <c r="E82" i="11" s="1"/>
  <c r="E81" i="10"/>
  <c r="E82" i="10" s="1"/>
  <c r="E81" i="9"/>
  <c r="E82" i="9" s="1"/>
  <c r="E81" i="8"/>
  <c r="E82" i="8" s="1"/>
  <c r="E81" i="7"/>
  <c r="E82" i="7" s="1"/>
  <c r="E81" i="6"/>
  <c r="E82" i="6" s="1"/>
  <c r="E81" i="5"/>
  <c r="E82" i="5" s="1"/>
  <c r="F8" i="3"/>
  <c r="G8" i="3" s="1"/>
  <c r="E81" i="4"/>
  <c r="E82" i="4" s="1"/>
  <c r="B3" i="3" s="1"/>
  <c r="C3" i="3" s="1"/>
  <c r="F3" i="3" s="1"/>
  <c r="G3" i="3" s="1"/>
  <c r="F7" i="3"/>
  <c r="G7" i="3" s="1"/>
  <c r="F6" i="3"/>
  <c r="G6" i="3" s="1"/>
  <c r="F4" i="3"/>
  <c r="G4" i="3" s="1"/>
  <c r="F11" i="3"/>
  <c r="G11" i="3" s="1"/>
  <c r="F5" i="3"/>
  <c r="G5" i="3" s="1"/>
  <c r="E81" i="2"/>
  <c r="E82" i="2" s="1"/>
  <c r="F9" i="3"/>
  <c r="G9" i="3" s="1"/>
  <c r="F10" i="3"/>
  <c r="G10" i="3" s="1"/>
  <c r="F12" i="3"/>
  <c r="G12" i="3" s="1"/>
</calcChain>
</file>

<file path=xl/sharedStrings.xml><?xml version="1.0" encoding="utf-8"?>
<sst xmlns="http://schemas.openxmlformats.org/spreadsheetml/2006/main" count="1747" uniqueCount="99">
  <si>
    <r>
      <rPr>
        <b/>
        <sz val="16"/>
        <rFont val="Calibri"/>
        <family val="1"/>
      </rPr>
      <t>Description</t>
    </r>
  </si>
  <si>
    <r>
      <rPr>
        <b/>
        <sz val="16"/>
        <rFont val="Calibri"/>
        <family val="1"/>
      </rPr>
      <t>Unit</t>
    </r>
  </si>
  <si>
    <r>
      <rPr>
        <b/>
        <sz val="16"/>
        <rFont val="Calibri"/>
        <family val="1"/>
      </rPr>
      <t>Rate</t>
    </r>
  </si>
  <si>
    <r>
      <rPr>
        <b/>
        <sz val="16"/>
        <rFont val="Calibri"/>
        <family val="1"/>
      </rPr>
      <t>A. Accommodation</t>
    </r>
  </si>
  <si>
    <r>
      <rPr>
        <b/>
        <u/>
        <sz val="16"/>
        <rFont val="Calibri"/>
        <family val="1"/>
      </rPr>
      <t>A1. Ijen</t>
    </r>
  </si>
  <si>
    <r>
      <rPr>
        <sz val="16"/>
        <rFont val="Calibri"/>
        <family val="1"/>
      </rPr>
      <t>No</t>
    </r>
  </si>
  <si>
    <r>
      <rPr>
        <sz val="16"/>
        <rFont val="Calibri"/>
        <family val="1"/>
      </rPr>
      <t>Grand Padis - Double/Twin</t>
    </r>
  </si>
  <si>
    <r>
      <rPr>
        <sz val="16"/>
        <rFont val="Calibri"/>
        <family val="1"/>
      </rPr>
      <t>Grand Padis - Extra Bed</t>
    </r>
  </si>
  <si>
    <r>
      <rPr>
        <b/>
        <u/>
        <sz val="16"/>
        <rFont val="Calibri"/>
        <family val="1"/>
      </rPr>
      <t>A2. Bromo </t>
    </r>
  </si>
  <si>
    <r>
      <rPr>
        <b/>
        <u/>
        <sz val="16"/>
        <rFont val="Calibri"/>
        <family val="1"/>
      </rPr>
      <t>A3. Lumajang / Malang / Jember</t>
    </r>
  </si>
  <si>
    <t>Doho Homestay - Deluxe</t>
  </si>
  <si>
    <t>Doho Homestay - Executive</t>
  </si>
  <si>
    <r>
      <rPr>
        <sz val="16"/>
        <rFont val="Calibri"/>
        <family val="1"/>
      </rPr>
      <t>Doho Homestay - Emerald</t>
    </r>
  </si>
  <si>
    <r>
      <rPr>
        <sz val="16"/>
        <rFont val="Calibri"/>
        <family val="1"/>
      </rPr>
      <t>Doho Homestay - Platinum</t>
    </r>
  </si>
  <si>
    <r>
      <rPr>
        <sz val="16"/>
        <rFont val="Calibri"/>
        <family val="1"/>
      </rPr>
      <t>Doho Homestay - Family</t>
    </r>
  </si>
  <si>
    <r>
      <rPr>
        <b/>
        <sz val="16"/>
        <rFont val="Calibri"/>
        <family val="1"/>
      </rPr>
      <t>B. Activities</t>
    </r>
  </si>
  <si>
    <r>
      <rPr>
        <b/>
        <u/>
        <sz val="16"/>
        <rFont val="Calibri"/>
        <family val="1"/>
      </rPr>
      <t>B1. Ijen</t>
    </r>
  </si>
  <si>
    <r>
      <rPr>
        <sz val="16"/>
        <rFont val="Calibri"/>
        <family val="1"/>
      </rPr>
      <t>Pax</t>
    </r>
  </si>
  <si>
    <r>
      <rPr>
        <sz val="16"/>
        <rFont val="Calibri"/>
        <family val="1"/>
      </rPr>
      <t>Gas Mask</t>
    </r>
  </si>
  <si>
    <t>Coffee + Indo Mee</t>
  </si>
  <si>
    <r>
      <rPr>
        <sz val="16"/>
        <rFont val="Calibri"/>
        <family val="1"/>
      </rPr>
      <t>Ijen Certificate</t>
    </r>
  </si>
  <si>
    <r>
      <rPr>
        <b/>
        <u/>
        <sz val="16"/>
        <rFont val="Calibri"/>
        <family val="1"/>
      </rPr>
      <t>B2. Bromo </t>
    </r>
  </si>
  <si>
    <r>
      <rPr>
        <sz val="16"/>
        <rFont val="Calibri"/>
        <family val="1"/>
      </rPr>
      <t>Bromo - Jeep</t>
    </r>
  </si>
  <si>
    <r>
      <rPr>
        <b/>
        <u/>
        <sz val="16"/>
        <rFont val="Calibri"/>
        <family val="1"/>
      </rPr>
      <t>B4. Tumpak Sewu/ Kapas Biru/ Panorama/ Coban Sriti</t>
    </r>
  </si>
  <si>
    <r>
      <rPr>
        <sz val="16"/>
        <rFont val="Calibri"/>
        <family val="1"/>
      </rPr>
      <t>Tumpak Sewu - Ticket</t>
    </r>
  </si>
  <si>
    <r>
      <rPr>
        <sz val="16"/>
        <rFont val="Calibri"/>
        <family val="1"/>
      </rPr>
      <t>Yanto's lunch incl drinks</t>
    </r>
  </si>
  <si>
    <r>
      <rPr>
        <sz val="16"/>
        <rFont val="Calibri"/>
        <family val="1"/>
      </rPr>
      <t>Papuma Beach</t>
    </r>
  </si>
  <si>
    <t>C. Transportation</t>
  </si>
  <si>
    <r>
      <rPr>
        <b/>
        <u/>
        <sz val="16"/>
        <rFont val="Calibri"/>
        <family val="1"/>
      </rPr>
      <t>C1. Vehicle</t>
    </r>
  </si>
  <si>
    <r>
      <rPr>
        <sz val="16"/>
        <rFont val="Calibri"/>
        <family val="1"/>
      </rPr>
      <t>Avanza</t>
    </r>
  </si>
  <si>
    <r>
      <rPr>
        <sz val="16"/>
        <rFont val="Calibri"/>
        <family val="1"/>
      </rPr>
      <t>Day x Qty</t>
    </r>
  </si>
  <si>
    <r>
      <rPr>
        <sz val="16"/>
        <rFont val="Calibri"/>
        <family val="1"/>
      </rPr>
      <t>Innova</t>
    </r>
  </si>
  <si>
    <t>Toyota Hiace</t>
  </si>
  <si>
    <r>
      <rPr>
        <sz val="16"/>
        <rFont val="Calibri"/>
        <family val="1"/>
      </rPr>
      <t>Toyota Hiace Premio (4-6pax)</t>
    </r>
  </si>
  <si>
    <r>
      <rPr>
        <b/>
        <u/>
        <sz val="16"/>
        <rFont val="Calibri"/>
        <family val="1"/>
      </rPr>
      <t>C2. Parking and toll</t>
    </r>
  </si>
  <si>
    <r>
      <rPr>
        <sz val="16"/>
        <rFont val="Calibri"/>
        <family val="1"/>
      </rPr>
      <t>Probolingo</t>
    </r>
  </si>
  <si>
    <r>
      <rPr>
        <b/>
        <u/>
        <sz val="16"/>
        <rFont val="Calibri"/>
        <family val="1"/>
      </rPr>
      <t>C3. Shuttle service</t>
    </r>
  </si>
  <si>
    <r>
      <rPr>
        <sz val="16"/>
        <rFont val="Calibri"/>
        <family val="1"/>
      </rPr>
      <t>Every 3 pax</t>
    </r>
  </si>
  <si>
    <r>
      <rPr>
        <sz val="16"/>
        <rFont val="Calibri"/>
        <family val="1"/>
      </rPr>
      <t>Trip</t>
    </r>
  </si>
  <si>
    <t>D. Crews</t>
  </si>
  <si>
    <r>
      <rPr>
        <b/>
        <u/>
        <sz val="16"/>
        <rFont val="Calibri"/>
        <family val="1"/>
      </rPr>
      <t>D1. In house</t>
    </r>
  </si>
  <si>
    <r>
      <rPr>
        <sz val="16"/>
        <rFont val="Calibri"/>
        <family val="1"/>
      </rPr>
      <t>Driver cum guide</t>
    </r>
  </si>
  <si>
    <t>E. Others</t>
  </si>
  <si>
    <r>
      <rPr>
        <b/>
        <u/>
        <sz val="16"/>
        <rFont val="Calibri"/>
        <family val="1"/>
      </rPr>
      <t>E1. Miscelleneous</t>
    </r>
  </si>
  <si>
    <r>
      <rPr>
        <sz val="16"/>
        <rFont val="Calibri"/>
        <family val="1"/>
      </rPr>
      <t>Mineral Water</t>
    </r>
  </si>
  <si>
    <t>Day x Qty</t>
  </si>
  <si>
    <t>Transport allowance</t>
  </si>
  <si>
    <r>
      <rPr>
        <sz val="16"/>
        <rFont val="Calibri"/>
        <family val="1"/>
      </rPr>
      <t>T Shirt</t>
    </r>
  </si>
  <si>
    <r>
      <rPr>
        <b/>
        <u/>
        <sz val="16"/>
        <rFont val="Calibri"/>
        <family val="1"/>
      </rPr>
      <t>E2. Police Escort</t>
    </r>
  </si>
  <si>
    <r>
      <rPr>
        <sz val="16"/>
        <rFont val="Calibri"/>
        <family val="1"/>
      </rPr>
      <t>Probolingo &lt;-&gt; Bondowoso / Pasir Putih</t>
    </r>
  </si>
  <si>
    <r>
      <rPr>
        <b/>
        <u/>
        <sz val="16"/>
        <rFont val="Calibri"/>
        <family val="1"/>
      </rPr>
      <t>E3. Bali Transfer</t>
    </r>
  </si>
  <si>
    <r>
      <rPr>
        <sz val="16"/>
        <rFont val="Calibri"/>
        <family val="1"/>
      </rPr>
      <t>Ferry tickets (1-way)</t>
    </r>
  </si>
  <si>
    <t>Baratha - Superior</t>
  </si>
  <si>
    <t>Baratha - Deluxe</t>
  </si>
  <si>
    <t>Baratha - Family</t>
  </si>
  <si>
    <t>Baratha - Apartement</t>
  </si>
  <si>
    <t>Artha Cottage - Deluxe</t>
  </si>
  <si>
    <t>Baratha - Lunch</t>
  </si>
  <si>
    <t>Baratha - Dinner</t>
  </si>
  <si>
    <t>Bromo - Ticket</t>
  </si>
  <si>
    <t>Ijen - Ticket</t>
  </si>
  <si>
    <t>Ferry - Guide</t>
  </si>
  <si>
    <t>Joglo Kecombrang - Deluxe</t>
  </si>
  <si>
    <t>Joglo Kecombrang - Family</t>
  </si>
  <si>
    <t>Joglo Kecombrang - Extra Bed</t>
  </si>
  <si>
    <t>Riverside Homestay - Deluxe</t>
  </si>
  <si>
    <t>Riverside Homestay - Emerald</t>
  </si>
  <si>
    <t>Riverside Homestay - Executive</t>
  </si>
  <si>
    <t>Riverside Homestay - Platinum</t>
  </si>
  <si>
    <t>Riverside Homestay - Family</t>
  </si>
  <si>
    <t>Probolinggo + Malang</t>
  </si>
  <si>
    <t>Escort Guide</t>
  </si>
  <si>
    <t>Driver Only</t>
  </si>
  <si>
    <t>Santika Banyuwangi</t>
  </si>
  <si>
    <t>C4. Transport Bali</t>
  </si>
  <si>
    <t>Tumpak Sewu Local Guide</t>
  </si>
  <si>
    <t>Ijen Local Guide</t>
  </si>
  <si>
    <t>Package Name</t>
  </si>
  <si>
    <t>ID</t>
  </si>
  <si>
    <t>Duration (Days)</t>
  </si>
  <si>
    <t>No of Pax</t>
  </si>
  <si>
    <t>Qty</t>
  </si>
  <si>
    <t>Total</t>
  </si>
  <si>
    <t>Karton</t>
  </si>
  <si>
    <t>Total Expense</t>
  </si>
  <si>
    <t>Pax</t>
  </si>
  <si>
    <t>Margin</t>
  </si>
  <si>
    <t>Presentase Margin</t>
  </si>
  <si>
    <t>Expense / Pax</t>
  </si>
  <si>
    <t>Harga / Pax</t>
  </si>
  <si>
    <t>Total Harga</t>
  </si>
  <si>
    <t>Extra Luggage</t>
  </si>
  <si>
    <t>Transport Bali - Avanza</t>
  </si>
  <si>
    <t>Transport Bali - Elf</t>
  </si>
  <si>
    <t>East Java Adventure: Bali to Ijen, Bromo, Papuma Beach &amp; Tumpak Sewu</t>
  </si>
  <si>
    <t>Riverside - Lunch</t>
  </si>
  <si>
    <t>Riverside - Dinner</t>
  </si>
  <si>
    <t>Luminor Banyuwangi - Deluxe</t>
  </si>
  <si>
    <t>Luminor Banyuwangi - Extra 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</si>
</sst>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</numFmts>
  <fonts count="17" x14ac:knownFonts="1">
    <font>
      <sz val="10"/>
      <color rgb="FF000000"/>
      <name val="Times New Roman"/>
      <charset val="204"/>
    </font>
    <font>
      <b/>
      <sz val="16"/>
      <name val="Calibri"/>
      <family val="2"/>
    </font>
    <font>
      <b/>
      <sz val="16"/>
      <name val="Calibri"/>
      <family val="1"/>
    </font>
    <font>
      <sz val="16"/>
      <color rgb="FF000000"/>
      <name val="Times New Roman"/>
      <family val="1"/>
    </font>
    <font>
      <b/>
      <u/>
      <sz val="16"/>
      <name val="Calibri"/>
      <family val="1"/>
    </font>
    <font>
      <sz val="16"/>
      <name val="Calibri"/>
      <family val="2"/>
    </font>
    <font>
      <sz val="16"/>
      <name val="Calibri"/>
      <family val="1"/>
    </font>
    <font>
      <sz val="16"/>
      <color rgb="FF000000"/>
      <name val="Calibri"/>
      <family val="2"/>
    </font>
    <font>
      <b/>
      <sz val="16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Aptos"/>
      <family val="2"/>
    </font>
    <font>
      <sz val="14"/>
      <color rgb="FF000000"/>
      <name val="Aptos"/>
      <family val="2"/>
    </font>
    <font>
      <b/>
      <sz val="16"/>
      <color rgb="FF000000"/>
      <name val="Calibri"/>
      <family val="2"/>
    </font>
    <font>
      <b/>
      <sz val="16"/>
      <color rgb="FF00000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44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13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wrapText="1"/>
    </xf>
    <xf numFmtId="0" fontId="0" fillId="0" borderId="2" xfId="0" applyBorder="1" applyAlignment="1">
      <alignment horizontal="left" vertical="top"/>
    </xf>
    <xf numFmtId="0" fontId="1" fillId="0" borderId="2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5"/>
    </xf>
    <xf numFmtId="0" fontId="5" fillId="0" borderId="2" xfId="0" applyFont="1" applyBorder="1" applyAlignment="1">
      <alignment horizontal="center" vertical="top" wrapText="1"/>
    </xf>
    <xf numFmtId="3" fontId="7" fillId="0" borderId="2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left" vertical="top" wrapText="1" indent="5"/>
    </xf>
    <xf numFmtId="3" fontId="3" fillId="0" borderId="2" xfId="0" applyNumberFormat="1" applyFont="1" applyBorder="1" applyAlignment="1">
      <alignment horizontal="left" wrapText="1"/>
    </xf>
    <xf numFmtId="0" fontId="4" fillId="0" borderId="2" xfId="0" applyFont="1" applyBorder="1" applyAlignment="1">
      <alignment horizontal="left" vertical="top" wrapText="1" indent="3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/>
    </xf>
    <xf numFmtId="0" fontId="16" fillId="3" borderId="2" xfId="0" applyFont="1" applyFill="1" applyBorder="1" applyAlignment="1">
      <alignment horizontal="center"/>
    </xf>
    <xf numFmtId="164" fontId="16" fillId="3" borderId="2" xfId="1" applyNumberFormat="1" applyFont="1" applyFill="1" applyBorder="1" applyAlignment="1">
      <alignment horizontal="center"/>
    </xf>
    <xf numFmtId="164" fontId="16" fillId="3" borderId="2" xfId="1" applyNumberFormat="1" applyFont="1" applyFill="1" applyBorder="1"/>
    <xf numFmtId="0" fontId="16" fillId="4" borderId="2" xfId="0" applyFont="1" applyFill="1" applyBorder="1" applyAlignment="1">
      <alignment horizontal="center"/>
    </xf>
    <xf numFmtId="164" fontId="16" fillId="4" borderId="2" xfId="1" applyNumberFormat="1" applyFont="1" applyFill="1" applyBorder="1"/>
    <xf numFmtId="164" fontId="16" fillId="4" borderId="2" xfId="1" applyNumberFormat="1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164" fontId="10" fillId="6" borderId="2" xfId="1" applyNumberFormat="1" applyFont="1" applyFill="1" applyBorder="1"/>
    <xf numFmtId="164" fontId="10" fillId="6" borderId="2" xfId="1" applyNumberFormat="1" applyFont="1" applyFill="1" applyBorder="1" applyAlignment="1">
      <alignment horizontal="center"/>
    </xf>
    <xf numFmtId="0" fontId="16" fillId="7" borderId="2" xfId="0" applyFont="1" applyFill="1" applyBorder="1" applyAlignment="1">
      <alignment horizontal="center"/>
    </xf>
    <xf numFmtId="164" fontId="16" fillId="7" borderId="2" xfId="1" applyNumberFormat="1" applyFont="1" applyFill="1" applyBorder="1"/>
    <xf numFmtId="164" fontId="16" fillId="7" borderId="2" xfId="1" applyNumberFormat="1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164" fontId="10" fillId="5" borderId="2" xfId="0" applyNumberFormat="1" applyFont="1" applyFill="1" applyBorder="1"/>
    <xf numFmtId="164" fontId="10" fillId="5" borderId="2" xfId="1" applyNumberFormat="1" applyFont="1" applyFill="1" applyBorder="1"/>
    <xf numFmtId="164" fontId="10" fillId="5" borderId="2" xfId="1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164" fontId="10" fillId="0" borderId="0" xfId="1" applyNumberFormat="1" applyFont="1" applyFill="1" applyBorder="1"/>
    <xf numFmtId="164" fontId="10" fillId="0" borderId="0" xfId="1" applyNumberFormat="1" applyFont="1" applyFill="1" applyBorder="1" applyAlignment="1">
      <alignment horizontal="center"/>
    </xf>
    <xf numFmtId="165" fontId="7" fillId="0" borderId="2" xfId="1" applyNumberFormat="1" applyFont="1" applyBorder="1" applyAlignment="1">
      <alignment horizontal="center" vertical="top" shrinkToFit="1"/>
    </xf>
    <xf numFmtId="165" fontId="3" fillId="0" borderId="2" xfId="1" applyNumberFormat="1" applyFont="1" applyBorder="1" applyAlignment="1">
      <alignment horizontal="left" wrapText="1"/>
    </xf>
    <xf numFmtId="165" fontId="3" fillId="0" borderId="2" xfId="1" applyNumberFormat="1" applyFont="1" applyBorder="1" applyAlignment="1">
      <alignment horizontal="center" wrapText="1"/>
    </xf>
    <xf numFmtId="165" fontId="14" fillId="0" borderId="2" xfId="1" applyNumberFormat="1" applyFont="1" applyBorder="1" applyAlignment="1">
      <alignment horizontal="center" vertical="top" shrinkToFit="1"/>
    </xf>
    <xf numFmtId="0" fontId="13" fillId="3" borderId="1" xfId="0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90CF1-8A91-4E63-9BBC-994A19DA5E24}">
  <sheetPr>
    <pageSetUpPr fitToPage="1"/>
  </sheetPr>
  <dimension ref="A1:N82"/>
  <sheetViews>
    <sheetView topLeftCell="A38" zoomScale="70" zoomScaleNormal="70" workbookViewId="0">
      <selection activeCell="D8" sqref="D8"/>
    </sheetView>
  </sheetViews>
  <sheetFormatPr baseColWidth="10" defaultColWidth="9" defaultRowHeight="13" x14ac:dyDescent="0.15"/>
  <cols>
    <col min="1" max="1" width="103.19921875" bestFit="1" customWidth="1"/>
    <col min="2" max="2" width="23.19921875" customWidth="1"/>
    <col min="3" max="3" width="29.19921875" customWidth="1"/>
    <col min="4" max="4" width="24.19921875" customWidth="1"/>
    <col min="5" max="5" width="25.3984375" customWidth="1"/>
    <col min="8" max="8" width="7" bestFit="1" customWidth="1"/>
    <col min="9" max="10" width="20.796875" bestFit="1" customWidth="1"/>
    <col min="11" max="11" width="18.59765625" bestFit="1" customWidth="1"/>
    <col min="12" max="12" width="20.3984375" bestFit="1" customWidth="1"/>
    <col min="13" max="13" width="18.59765625" bestFit="1" customWidth="1"/>
    <col min="14" max="14" width="27.3984375" bestFit="1" customWidth="1"/>
  </cols>
  <sheetData>
    <row r="1" spans="1:5" ht="25.5" customHeight="1" x14ac:dyDescent="0.15">
      <c r="A1" s="2" t="s">
        <v>77</v>
      </c>
      <c r="B1" s="2" t="s">
        <v>78</v>
      </c>
      <c r="C1" s="2" t="s">
        <v>79</v>
      </c>
      <c r="D1" s="2" t="s">
        <v>80</v>
      </c>
    </row>
    <row r="2" spans="1:5" ht="27.75" customHeight="1" x14ac:dyDescent="0.15">
      <c r="A2" s="3" t="s">
        <v>94</v>
      </c>
      <c r="B2" s="3">
        <v>54</v>
      </c>
      <c r="C2" s="3">
        <v>4</v>
      </c>
      <c r="D2" s="43">
        <v>2</v>
      </c>
    </row>
    <row r="3" spans="1:5" ht="27.75" customHeight="1" x14ac:dyDescent="0.15">
      <c r="A3" s="4"/>
      <c r="B3" s="4"/>
      <c r="C3" s="4"/>
    </row>
    <row r="4" spans="1:5" ht="35.25" customHeight="1" x14ac:dyDescent="0.15">
      <c r="A4" s="5" t="s">
        <v>0</v>
      </c>
      <c r="B4" s="5" t="s">
        <v>1</v>
      </c>
      <c r="C4" s="5" t="s">
        <v>2</v>
      </c>
      <c r="D4" s="5" t="s">
        <v>81</v>
      </c>
      <c r="E4" s="5" t="s">
        <v>82</v>
      </c>
    </row>
    <row r="5" spans="1:5" ht="22.5" customHeight="1" x14ac:dyDescent="0.2">
      <c r="A5" s="6" t="s">
        <v>3</v>
      </c>
      <c r="B5" s="7"/>
      <c r="C5" s="7"/>
      <c r="D5" s="8"/>
      <c r="E5" s="8"/>
    </row>
    <row r="6" spans="1:5" ht="22.5" customHeight="1" x14ac:dyDescent="0.2">
      <c r="A6" s="9" t="s">
        <v>4</v>
      </c>
      <c r="B6" s="7"/>
      <c r="C6" s="7"/>
      <c r="D6" s="8"/>
      <c r="E6" s="8"/>
    </row>
    <row r="7" spans="1:5" ht="22.5" customHeight="1" x14ac:dyDescent="0.15">
      <c r="A7" s="10" t="s">
        <v>97</v>
      </c>
      <c r="B7" s="11" t="s">
        <v>5</v>
      </c>
      <c r="C7" s="39">
        <v>500000</v>
      </c>
      <c r="D7" s="12">
        <f>ROUNDUP($D$2/2,0)</f>
        <v>1</v>
      </c>
      <c r="E7" s="39">
        <f t="shared" ref="E7:E9" si="0">C7*D7</f>
        <v>500000</v>
      </c>
    </row>
    <row r="8" spans="1:5" ht="22.5" customHeight="1" x14ac:dyDescent="0.15">
      <c r="A8" s="10" t="s">
        <v>98</v>
      </c>
      <c r="B8" s="11" t="s">
        <v>5</v>
      </c>
      <c r="C8" s="39">
        <v>250000</v>
      </c>
      <c r="D8" s="12"/>
      <c r="E8" s="39">
        <f t="shared" ref="E8" si="1">C8*D8</f>
        <v>0</v>
      </c>
    </row>
    <row r="9" spans="1:5" ht="22.5" customHeight="1" x14ac:dyDescent="0.15">
      <c r="A9" s="10" t="s">
        <v>73</v>
      </c>
      <c r="B9" s="11" t="s">
        <v>5</v>
      </c>
      <c r="C9" s="39">
        <v>560000</v>
      </c>
      <c r="D9" s="12"/>
      <c r="E9" s="39">
        <f t="shared" si="0"/>
        <v>0</v>
      </c>
    </row>
    <row r="10" spans="1:5" ht="22.5" hidden="1" customHeight="1" x14ac:dyDescent="0.15">
      <c r="A10" s="13" t="s">
        <v>6</v>
      </c>
      <c r="B10" s="11" t="s">
        <v>5</v>
      </c>
      <c r="C10" s="39">
        <v>435000</v>
      </c>
      <c r="D10" s="12"/>
      <c r="E10" s="39">
        <f>C10*D10</f>
        <v>0</v>
      </c>
    </row>
    <row r="11" spans="1:5" ht="22.5" hidden="1" customHeight="1" x14ac:dyDescent="0.15">
      <c r="A11" s="13" t="s">
        <v>7</v>
      </c>
      <c r="B11" s="11" t="s">
        <v>5</v>
      </c>
      <c r="C11" s="39">
        <v>300000</v>
      </c>
      <c r="D11" s="12"/>
      <c r="E11" s="39">
        <f t="shared" ref="E11:E49" si="2">C11*D11</f>
        <v>0</v>
      </c>
    </row>
    <row r="12" spans="1:5" ht="22.5" hidden="1" customHeight="1" x14ac:dyDescent="0.15">
      <c r="A12" s="10" t="s">
        <v>52</v>
      </c>
      <c r="B12" s="11" t="s">
        <v>5</v>
      </c>
      <c r="C12" s="39">
        <v>250000</v>
      </c>
      <c r="D12" s="12"/>
      <c r="E12" s="39">
        <f t="shared" si="2"/>
        <v>0</v>
      </c>
    </row>
    <row r="13" spans="1:5" ht="22.5" hidden="1" customHeight="1" x14ac:dyDescent="0.15">
      <c r="A13" s="10" t="s">
        <v>53</v>
      </c>
      <c r="B13" s="11" t="s">
        <v>5</v>
      </c>
      <c r="C13" s="39">
        <v>275000</v>
      </c>
      <c r="D13" s="12"/>
      <c r="E13" s="39">
        <f t="shared" si="2"/>
        <v>0</v>
      </c>
    </row>
    <row r="14" spans="1:5" ht="22.5" hidden="1" customHeight="1" x14ac:dyDescent="0.15">
      <c r="A14" s="10" t="s">
        <v>54</v>
      </c>
      <c r="B14" s="11" t="s">
        <v>5</v>
      </c>
      <c r="C14" s="39">
        <v>450000</v>
      </c>
      <c r="D14" s="12"/>
      <c r="E14" s="39">
        <f t="shared" si="2"/>
        <v>0</v>
      </c>
    </row>
    <row r="15" spans="1:5" ht="22.5" hidden="1" customHeight="1" x14ac:dyDescent="0.15">
      <c r="A15" s="10" t="s">
        <v>55</v>
      </c>
      <c r="B15" s="11" t="s">
        <v>5</v>
      </c>
      <c r="C15" s="39">
        <v>450000</v>
      </c>
      <c r="D15" s="12"/>
      <c r="E15" s="39">
        <f t="shared" si="2"/>
        <v>0</v>
      </c>
    </row>
    <row r="16" spans="1:5" ht="22.5" hidden="1" customHeight="1" x14ac:dyDescent="0.15">
      <c r="A16" s="10" t="s">
        <v>65</v>
      </c>
      <c r="B16" s="11" t="s">
        <v>5</v>
      </c>
      <c r="C16" s="39">
        <v>337500</v>
      </c>
      <c r="D16" s="12"/>
      <c r="E16" s="39">
        <f t="shared" si="2"/>
        <v>0</v>
      </c>
    </row>
    <row r="17" spans="1:14" ht="22.5" hidden="1" customHeight="1" x14ac:dyDescent="0.2">
      <c r="A17" s="10" t="s">
        <v>67</v>
      </c>
      <c r="B17" s="11" t="s">
        <v>5</v>
      </c>
      <c r="C17" s="39">
        <v>375000</v>
      </c>
      <c r="D17" s="12"/>
      <c r="E17" s="39">
        <f t="shared" si="2"/>
        <v>0</v>
      </c>
      <c r="H17" s="36"/>
      <c r="I17" s="37"/>
      <c r="J17" s="37"/>
      <c r="K17" s="38"/>
      <c r="L17" s="38"/>
      <c r="M17" s="38"/>
      <c r="N17" s="38"/>
    </row>
    <row r="18" spans="1:14" ht="22.5" hidden="1" customHeight="1" x14ac:dyDescent="0.2">
      <c r="A18" s="10" t="s">
        <v>66</v>
      </c>
      <c r="B18" s="11" t="s">
        <v>5</v>
      </c>
      <c r="C18" s="39">
        <v>412500</v>
      </c>
      <c r="D18" s="12"/>
      <c r="E18" s="39">
        <f t="shared" si="2"/>
        <v>0</v>
      </c>
      <c r="H18" s="36"/>
      <c r="I18" s="37"/>
      <c r="J18" s="37"/>
      <c r="K18" s="38"/>
      <c r="L18" s="38"/>
      <c r="M18" s="38"/>
      <c r="N18" s="38"/>
    </row>
    <row r="19" spans="1:14" ht="22.5" hidden="1" customHeight="1" x14ac:dyDescent="0.2">
      <c r="A19" s="10" t="s">
        <v>68</v>
      </c>
      <c r="B19" s="11" t="s">
        <v>5</v>
      </c>
      <c r="C19" s="39">
        <v>487500</v>
      </c>
      <c r="D19" s="12"/>
      <c r="E19" s="39">
        <f t="shared" si="2"/>
        <v>0</v>
      </c>
      <c r="H19" s="36"/>
      <c r="I19" s="37"/>
      <c r="J19" s="37"/>
      <c r="K19" s="38"/>
      <c r="L19" s="38"/>
      <c r="M19" s="38"/>
      <c r="N19" s="38"/>
    </row>
    <row r="20" spans="1:14" ht="22.5" hidden="1" customHeight="1" x14ac:dyDescent="0.2">
      <c r="A20" s="10" t="s">
        <v>69</v>
      </c>
      <c r="B20" s="11" t="s">
        <v>5</v>
      </c>
      <c r="C20" s="39">
        <v>562500</v>
      </c>
      <c r="D20" s="12"/>
      <c r="E20" s="39">
        <f t="shared" si="2"/>
        <v>0</v>
      </c>
      <c r="H20" s="36"/>
      <c r="I20" s="37"/>
      <c r="J20" s="37"/>
      <c r="K20" s="38"/>
      <c r="L20" s="38"/>
      <c r="M20" s="38"/>
      <c r="N20" s="38"/>
    </row>
    <row r="21" spans="1:14" ht="22.5" customHeight="1" x14ac:dyDescent="0.2">
      <c r="A21" s="9" t="s">
        <v>8</v>
      </c>
      <c r="B21" s="7"/>
      <c r="C21" s="40"/>
      <c r="D21" s="12"/>
      <c r="E21" s="39"/>
    </row>
    <row r="22" spans="1:14" ht="22.5" customHeight="1" x14ac:dyDescent="0.15">
      <c r="A22" s="10" t="s">
        <v>62</v>
      </c>
      <c r="B22" s="11" t="s">
        <v>5</v>
      </c>
      <c r="C22" s="39">
        <v>750000</v>
      </c>
      <c r="D22" s="12">
        <f>ROUNDUP(D2/2,0)</f>
        <v>1</v>
      </c>
      <c r="E22" s="39">
        <f t="shared" si="2"/>
        <v>750000</v>
      </c>
    </row>
    <row r="23" spans="1:14" ht="22.5" customHeight="1" x14ac:dyDescent="0.15">
      <c r="A23" s="10" t="s">
        <v>63</v>
      </c>
      <c r="B23" s="11" t="s">
        <v>5</v>
      </c>
      <c r="C23" s="39">
        <v>950000</v>
      </c>
      <c r="D23" s="12"/>
      <c r="E23" s="39">
        <f t="shared" si="2"/>
        <v>0</v>
      </c>
    </row>
    <row r="24" spans="1:14" ht="22.5" customHeight="1" x14ac:dyDescent="0.15">
      <c r="A24" s="10" t="s">
        <v>64</v>
      </c>
      <c r="B24" s="11" t="s">
        <v>5</v>
      </c>
      <c r="C24" s="39">
        <v>300000</v>
      </c>
      <c r="D24" s="12"/>
      <c r="E24" s="39">
        <f t="shared" si="2"/>
        <v>0</v>
      </c>
    </row>
    <row r="25" spans="1:14" ht="22.5" customHeight="1" x14ac:dyDescent="0.2">
      <c r="A25" s="9" t="s">
        <v>9</v>
      </c>
      <c r="B25" s="7"/>
      <c r="C25" s="40"/>
      <c r="D25" s="12"/>
      <c r="E25" s="39">
        <f t="shared" si="2"/>
        <v>0</v>
      </c>
    </row>
    <row r="26" spans="1:14" ht="22.5" customHeight="1" x14ac:dyDescent="0.15">
      <c r="A26" s="10" t="s">
        <v>56</v>
      </c>
      <c r="B26" s="11" t="s">
        <v>5</v>
      </c>
      <c r="C26" s="39">
        <v>425000</v>
      </c>
      <c r="D26" s="12"/>
      <c r="E26" s="39">
        <f t="shared" si="2"/>
        <v>0</v>
      </c>
    </row>
    <row r="27" spans="1:14" ht="22.5" customHeight="1" x14ac:dyDescent="0.15">
      <c r="A27" s="10" t="s">
        <v>10</v>
      </c>
      <c r="B27" s="11" t="s">
        <v>5</v>
      </c>
      <c r="C27" s="39">
        <v>260000</v>
      </c>
      <c r="D27" s="12">
        <f>ROUNDUP($D$2/2,0)</f>
        <v>1</v>
      </c>
      <c r="E27" s="39">
        <f t="shared" si="2"/>
        <v>260000</v>
      </c>
    </row>
    <row r="28" spans="1:14" ht="22.5" customHeight="1" x14ac:dyDescent="0.15">
      <c r="A28" s="10" t="s">
        <v>11</v>
      </c>
      <c r="B28" s="11" t="s">
        <v>5</v>
      </c>
      <c r="C28" s="39">
        <v>300000</v>
      </c>
      <c r="D28" s="12"/>
      <c r="E28" s="39">
        <f t="shared" si="2"/>
        <v>0</v>
      </c>
    </row>
    <row r="29" spans="1:14" ht="22.5" customHeight="1" x14ac:dyDescent="0.15">
      <c r="A29" s="13" t="s">
        <v>12</v>
      </c>
      <c r="B29" s="11" t="s">
        <v>5</v>
      </c>
      <c r="C29" s="39">
        <v>316000</v>
      </c>
      <c r="D29" s="12"/>
      <c r="E29" s="39">
        <f t="shared" si="2"/>
        <v>0</v>
      </c>
    </row>
    <row r="30" spans="1:14" ht="22.5" customHeight="1" x14ac:dyDescent="0.15">
      <c r="A30" s="13" t="s">
        <v>13</v>
      </c>
      <c r="B30" s="11" t="s">
        <v>5</v>
      </c>
      <c r="C30" s="39">
        <v>380000</v>
      </c>
      <c r="D30" s="12"/>
      <c r="E30" s="39">
        <f t="shared" si="2"/>
        <v>0</v>
      </c>
    </row>
    <row r="31" spans="1:14" ht="22.5" customHeight="1" x14ac:dyDescent="0.15">
      <c r="A31" s="13" t="s">
        <v>14</v>
      </c>
      <c r="B31" s="11" t="s">
        <v>5</v>
      </c>
      <c r="C31" s="39">
        <v>440000</v>
      </c>
      <c r="D31" s="12"/>
      <c r="E31" s="39">
        <f t="shared" si="2"/>
        <v>0</v>
      </c>
    </row>
    <row r="32" spans="1:14" ht="22.5" customHeight="1" x14ac:dyDescent="0.2">
      <c r="A32" s="6" t="s">
        <v>15</v>
      </c>
      <c r="B32" s="7"/>
      <c r="C32" s="40"/>
      <c r="D32" s="12"/>
      <c r="E32" s="39">
        <f t="shared" si="2"/>
        <v>0</v>
      </c>
    </row>
    <row r="33" spans="1:5" ht="22.5" customHeight="1" x14ac:dyDescent="0.2">
      <c r="A33" s="9" t="s">
        <v>16</v>
      </c>
      <c r="B33" s="7"/>
      <c r="C33" s="40"/>
      <c r="D33" s="12"/>
      <c r="E33" s="39">
        <f t="shared" si="2"/>
        <v>0</v>
      </c>
    </row>
    <row r="34" spans="1:5" ht="22.5" customHeight="1" x14ac:dyDescent="0.15">
      <c r="A34" s="10" t="s">
        <v>60</v>
      </c>
      <c r="B34" s="11" t="s">
        <v>17</v>
      </c>
      <c r="C34" s="39">
        <v>75000</v>
      </c>
      <c r="D34" s="12">
        <f>$D$2</f>
        <v>2</v>
      </c>
      <c r="E34" s="39">
        <f t="shared" si="2"/>
        <v>150000</v>
      </c>
    </row>
    <row r="35" spans="1:5" ht="22.5" customHeight="1" x14ac:dyDescent="0.15">
      <c r="A35" s="13" t="s">
        <v>18</v>
      </c>
      <c r="B35" s="11" t="s">
        <v>17</v>
      </c>
      <c r="C35" s="39">
        <v>55000</v>
      </c>
      <c r="D35" s="12"/>
      <c r="E35" s="39">
        <f t="shared" si="2"/>
        <v>0</v>
      </c>
    </row>
    <row r="36" spans="1:5" ht="22.5" customHeight="1" x14ac:dyDescent="0.15">
      <c r="A36" s="10" t="s">
        <v>19</v>
      </c>
      <c r="B36" s="11" t="s">
        <v>17</v>
      </c>
      <c r="C36" s="39">
        <v>25000</v>
      </c>
      <c r="D36" s="12">
        <f>$D$2</f>
        <v>2</v>
      </c>
      <c r="E36" s="39">
        <f t="shared" si="2"/>
        <v>50000</v>
      </c>
    </row>
    <row r="37" spans="1:5" ht="22.5" customHeight="1" x14ac:dyDescent="0.15">
      <c r="A37" s="10" t="s">
        <v>76</v>
      </c>
      <c r="B37" s="11" t="s">
        <v>5</v>
      </c>
      <c r="C37" s="39">
        <v>250000</v>
      </c>
      <c r="D37" s="12">
        <v>1</v>
      </c>
      <c r="E37" s="39">
        <f t="shared" si="2"/>
        <v>250000</v>
      </c>
    </row>
    <row r="38" spans="1:5" ht="22.5" customHeight="1" x14ac:dyDescent="0.15">
      <c r="A38" s="13" t="s">
        <v>95</v>
      </c>
      <c r="B38" s="11" t="s">
        <v>17</v>
      </c>
      <c r="C38" s="39">
        <v>65000</v>
      </c>
      <c r="D38" s="12"/>
      <c r="E38" s="39">
        <f t="shared" si="2"/>
        <v>0</v>
      </c>
    </row>
    <row r="39" spans="1:5" ht="22.5" customHeight="1" x14ac:dyDescent="0.15">
      <c r="A39" s="13" t="s">
        <v>96</v>
      </c>
      <c r="B39" s="11" t="s">
        <v>17</v>
      </c>
      <c r="C39" s="39">
        <v>65000</v>
      </c>
      <c r="D39" s="12"/>
      <c r="E39" s="39">
        <f t="shared" si="2"/>
        <v>0</v>
      </c>
    </row>
    <row r="40" spans="1:5" ht="22.5" customHeight="1" x14ac:dyDescent="0.15">
      <c r="A40" s="10" t="s">
        <v>57</v>
      </c>
      <c r="B40" s="11" t="s">
        <v>17</v>
      </c>
      <c r="C40" s="39">
        <v>60000</v>
      </c>
      <c r="D40" s="12">
        <f>D2</f>
        <v>2</v>
      </c>
      <c r="E40" s="39">
        <f t="shared" si="2"/>
        <v>120000</v>
      </c>
    </row>
    <row r="41" spans="1:5" ht="22.5" customHeight="1" x14ac:dyDescent="0.15">
      <c r="A41" s="10" t="s">
        <v>58</v>
      </c>
      <c r="B41" s="11" t="s">
        <v>17</v>
      </c>
      <c r="C41" s="39">
        <v>60000</v>
      </c>
      <c r="D41" s="12"/>
      <c r="E41" s="39">
        <f t="shared" si="2"/>
        <v>0</v>
      </c>
    </row>
    <row r="42" spans="1:5" ht="22.5" customHeight="1" x14ac:dyDescent="0.15">
      <c r="A42" s="13" t="s">
        <v>20</v>
      </c>
      <c r="B42" s="11" t="s">
        <v>5</v>
      </c>
      <c r="C42" s="39">
        <v>35000</v>
      </c>
      <c r="D42" s="12"/>
      <c r="E42" s="39">
        <f t="shared" si="2"/>
        <v>0</v>
      </c>
    </row>
    <row r="43" spans="1:5" ht="22.5" customHeight="1" x14ac:dyDescent="0.2">
      <c r="A43" s="9" t="s">
        <v>21</v>
      </c>
      <c r="B43" s="7"/>
      <c r="C43" s="41"/>
      <c r="D43" s="12"/>
      <c r="E43" s="39"/>
    </row>
    <row r="44" spans="1:5" ht="22.5" customHeight="1" x14ac:dyDescent="0.15">
      <c r="A44" s="10" t="s">
        <v>59</v>
      </c>
      <c r="B44" s="11" t="s">
        <v>17</v>
      </c>
      <c r="C44" s="39">
        <v>160000</v>
      </c>
      <c r="D44" s="12">
        <f>D2</f>
        <v>2</v>
      </c>
      <c r="E44" s="39">
        <f t="shared" si="2"/>
        <v>320000</v>
      </c>
    </row>
    <row r="45" spans="1:5" ht="22.5" customHeight="1" x14ac:dyDescent="0.15">
      <c r="A45" s="13" t="s">
        <v>22</v>
      </c>
      <c r="B45" s="11" t="s">
        <v>17</v>
      </c>
      <c r="C45" s="39">
        <v>500000</v>
      </c>
      <c r="D45" s="12">
        <f>ROUNDUP(D2/4,0)</f>
        <v>1</v>
      </c>
      <c r="E45" s="39">
        <f t="shared" si="2"/>
        <v>500000</v>
      </c>
    </row>
    <row r="46" spans="1:5" ht="22.5" customHeight="1" x14ac:dyDescent="0.2">
      <c r="A46" s="9" t="s">
        <v>23</v>
      </c>
      <c r="B46" s="7"/>
      <c r="C46" s="41"/>
      <c r="D46" s="12"/>
      <c r="E46" s="39">
        <f t="shared" si="2"/>
        <v>0</v>
      </c>
    </row>
    <row r="47" spans="1:5" ht="22.5" customHeight="1" x14ac:dyDescent="0.15">
      <c r="A47" s="13" t="s">
        <v>24</v>
      </c>
      <c r="B47" s="11" t="s">
        <v>17</v>
      </c>
      <c r="C47" s="39">
        <v>150000</v>
      </c>
      <c r="D47" s="12">
        <f>D2</f>
        <v>2</v>
      </c>
      <c r="E47" s="39">
        <f t="shared" si="2"/>
        <v>300000</v>
      </c>
    </row>
    <row r="48" spans="1:5" ht="22.5" customHeight="1" x14ac:dyDescent="0.15">
      <c r="A48" s="10" t="s">
        <v>75</v>
      </c>
      <c r="B48" s="11" t="s">
        <v>5</v>
      </c>
      <c r="C48" s="39">
        <v>200000</v>
      </c>
      <c r="D48" s="12">
        <v>1</v>
      </c>
      <c r="E48" s="39">
        <f t="shared" si="2"/>
        <v>200000</v>
      </c>
    </row>
    <row r="49" spans="1:5" ht="22.5" customHeight="1" x14ac:dyDescent="0.15">
      <c r="A49" s="13" t="s">
        <v>25</v>
      </c>
      <c r="B49" s="11" t="s">
        <v>17</v>
      </c>
      <c r="C49" s="39">
        <v>50000</v>
      </c>
      <c r="D49" s="12">
        <f>D2</f>
        <v>2</v>
      </c>
      <c r="E49" s="39">
        <f t="shared" si="2"/>
        <v>100000</v>
      </c>
    </row>
    <row r="50" spans="1:5" ht="22.5" customHeight="1" x14ac:dyDescent="0.15">
      <c r="A50" s="13" t="s">
        <v>26</v>
      </c>
      <c r="B50" s="11" t="s">
        <v>17</v>
      </c>
      <c r="C50" s="39">
        <v>40000</v>
      </c>
      <c r="D50" s="12">
        <f>$D$2</f>
        <v>2</v>
      </c>
      <c r="E50" s="39">
        <f t="shared" ref="E50:E79" si="3">C50*D50</f>
        <v>80000</v>
      </c>
    </row>
    <row r="51" spans="1:5" ht="22.5" customHeight="1" x14ac:dyDescent="0.2">
      <c r="A51" s="16" t="s">
        <v>27</v>
      </c>
      <c r="B51" s="7"/>
      <c r="C51" s="40"/>
      <c r="D51" s="12"/>
      <c r="E51" s="39"/>
    </row>
    <row r="52" spans="1:5" ht="22.5" customHeight="1" x14ac:dyDescent="0.2">
      <c r="A52" s="9" t="s">
        <v>28</v>
      </c>
      <c r="B52" s="7"/>
      <c r="C52" s="40"/>
      <c r="D52" s="12"/>
      <c r="E52" s="39"/>
    </row>
    <row r="53" spans="1:5" ht="22.5" customHeight="1" x14ac:dyDescent="0.15">
      <c r="A53" s="13" t="s">
        <v>29</v>
      </c>
      <c r="B53" s="11" t="s">
        <v>30</v>
      </c>
      <c r="C53" s="39">
        <v>450000</v>
      </c>
      <c r="D53" s="12">
        <f>IF($D$2=1,$C$2, IF($D$2=2,$C$2,0))</f>
        <v>4</v>
      </c>
      <c r="E53" s="39">
        <f t="shared" si="3"/>
        <v>1800000</v>
      </c>
    </row>
    <row r="54" spans="1:5" ht="22.5" customHeight="1" x14ac:dyDescent="0.15">
      <c r="A54" s="13" t="s">
        <v>31</v>
      </c>
      <c r="B54" s="11" t="s">
        <v>30</v>
      </c>
      <c r="C54" s="39">
        <v>550000</v>
      </c>
      <c r="D54" s="12">
        <f>IF($D$2=3,$C$2, 0)</f>
        <v>0</v>
      </c>
      <c r="E54" s="39">
        <f t="shared" si="3"/>
        <v>0</v>
      </c>
    </row>
    <row r="55" spans="1:5" ht="22.5" customHeight="1" x14ac:dyDescent="0.15">
      <c r="A55" s="10" t="s">
        <v>32</v>
      </c>
      <c r="B55" s="11" t="s">
        <v>30</v>
      </c>
      <c r="C55" s="39">
        <v>1100000</v>
      </c>
      <c r="D55" s="12">
        <f>IF((($D$2&gt;=4)*($D$2&lt;=11))=1,$C$2,0)</f>
        <v>0</v>
      </c>
      <c r="E55" s="39">
        <f t="shared" si="3"/>
        <v>0</v>
      </c>
    </row>
    <row r="56" spans="1:5" ht="22.5" customHeight="1" x14ac:dyDescent="0.15">
      <c r="A56" s="13" t="s">
        <v>33</v>
      </c>
      <c r="B56" s="11" t="s">
        <v>30</v>
      </c>
      <c r="C56" s="39">
        <v>1300000</v>
      </c>
      <c r="D56" s="12"/>
      <c r="E56" s="39">
        <f t="shared" si="3"/>
        <v>0</v>
      </c>
    </row>
    <row r="57" spans="1:5" ht="22.5" customHeight="1" x14ac:dyDescent="0.15">
      <c r="A57" s="10" t="s">
        <v>91</v>
      </c>
      <c r="B57" s="11" t="s">
        <v>30</v>
      </c>
      <c r="C57" s="39">
        <v>650000</v>
      </c>
      <c r="D57" s="12">
        <f>IF((($D$2&gt;=10)*($D$2&lt;=11))=1,1,0)</f>
        <v>0</v>
      </c>
      <c r="E57" s="39">
        <f t="shared" ref="E57" si="4">C57*D57</f>
        <v>0</v>
      </c>
    </row>
    <row r="58" spans="1:5" ht="22.5" customHeight="1" x14ac:dyDescent="0.2">
      <c r="A58" s="9" t="s">
        <v>34</v>
      </c>
      <c r="B58" s="7"/>
      <c r="C58" s="40"/>
      <c r="D58" s="12"/>
      <c r="E58" s="39"/>
    </row>
    <row r="59" spans="1:5" ht="22.5" customHeight="1" x14ac:dyDescent="0.15">
      <c r="A59" s="13" t="s">
        <v>35</v>
      </c>
      <c r="B59" s="11" t="s">
        <v>5</v>
      </c>
      <c r="C59" s="39">
        <v>200000</v>
      </c>
      <c r="D59" s="12">
        <f>IF((($D$2&gt;=10)*($D$2&lt;=11))=1,2,1)</f>
        <v>1</v>
      </c>
      <c r="E59" s="39">
        <f t="shared" si="3"/>
        <v>200000</v>
      </c>
    </row>
    <row r="60" spans="1:5" ht="22.5" customHeight="1" x14ac:dyDescent="0.15">
      <c r="A60" s="10" t="s">
        <v>70</v>
      </c>
      <c r="B60" s="11" t="s">
        <v>5</v>
      </c>
      <c r="C60" s="39">
        <v>300000</v>
      </c>
      <c r="D60" s="12"/>
      <c r="E60" s="39">
        <f t="shared" si="3"/>
        <v>0</v>
      </c>
    </row>
    <row r="61" spans="1:5" ht="22.5" customHeight="1" x14ac:dyDescent="0.2">
      <c r="A61" s="9" t="s">
        <v>36</v>
      </c>
      <c r="B61" s="7"/>
      <c r="C61" s="40"/>
      <c r="D61" s="12"/>
      <c r="E61" s="39">
        <f t="shared" si="3"/>
        <v>0</v>
      </c>
    </row>
    <row r="62" spans="1:5" ht="22.5" customHeight="1" x14ac:dyDescent="0.15">
      <c r="A62" s="13" t="s">
        <v>37</v>
      </c>
      <c r="B62" s="11" t="s">
        <v>38</v>
      </c>
      <c r="C62" s="39">
        <v>200000</v>
      </c>
      <c r="D62" s="12"/>
      <c r="E62" s="39">
        <f t="shared" si="3"/>
        <v>0</v>
      </c>
    </row>
    <row r="63" spans="1:5" ht="22.5" customHeight="1" x14ac:dyDescent="0.2">
      <c r="A63" s="15" t="s">
        <v>74</v>
      </c>
      <c r="B63" s="7"/>
      <c r="C63" s="40"/>
      <c r="D63" s="12"/>
      <c r="E63" s="39">
        <f t="shared" si="3"/>
        <v>0</v>
      </c>
    </row>
    <row r="64" spans="1:5" ht="22.5" customHeight="1" x14ac:dyDescent="0.15">
      <c r="A64" s="10" t="s">
        <v>92</v>
      </c>
      <c r="B64" s="11" t="s">
        <v>38</v>
      </c>
      <c r="C64" s="39">
        <v>700000</v>
      </c>
      <c r="D64" s="12">
        <f>IF((($D$2&gt;=1)*($D$2&lt;=3))=1,1,0)</f>
        <v>1</v>
      </c>
      <c r="E64" s="39">
        <f t="shared" si="3"/>
        <v>700000</v>
      </c>
    </row>
    <row r="65" spans="1:5" ht="22.5" customHeight="1" x14ac:dyDescent="0.15">
      <c r="A65" s="10" t="s">
        <v>93</v>
      </c>
      <c r="B65" s="11" t="s">
        <v>38</v>
      </c>
      <c r="C65" s="39">
        <v>1100000</v>
      </c>
      <c r="D65" s="12">
        <f>IF((($D$2&gt;=4)*($D$2&lt;=11))=1,1,0)</f>
        <v>0</v>
      </c>
      <c r="E65" s="39">
        <f t="shared" ref="E65" si="5">C65*D65</f>
        <v>0</v>
      </c>
    </row>
    <row r="66" spans="1:5" ht="22.5" customHeight="1" x14ac:dyDescent="0.2">
      <c r="A66" s="16" t="s">
        <v>39</v>
      </c>
      <c r="B66" s="7"/>
      <c r="C66" s="40"/>
      <c r="D66" s="12"/>
      <c r="E66" s="39">
        <f t="shared" si="3"/>
        <v>0</v>
      </c>
    </row>
    <row r="67" spans="1:5" ht="22.5" customHeight="1" x14ac:dyDescent="0.2">
      <c r="A67" s="9" t="s">
        <v>40</v>
      </c>
      <c r="B67" s="7"/>
      <c r="C67" s="40"/>
      <c r="D67" s="12"/>
      <c r="E67" s="39">
        <f t="shared" si="3"/>
        <v>0</v>
      </c>
    </row>
    <row r="68" spans="1:5" ht="22.5" customHeight="1" x14ac:dyDescent="0.15">
      <c r="A68" s="13" t="s">
        <v>41</v>
      </c>
      <c r="B68" s="11" t="s">
        <v>30</v>
      </c>
      <c r="C68" s="39">
        <v>250000</v>
      </c>
      <c r="D68" s="12">
        <f>IF((($D$2&gt;=1)*($D$2&lt;=3))=1,$C$2,0)</f>
        <v>4</v>
      </c>
      <c r="E68" s="39">
        <f t="shared" si="3"/>
        <v>1000000</v>
      </c>
    </row>
    <row r="69" spans="1:5" ht="22.5" customHeight="1" x14ac:dyDescent="0.15">
      <c r="A69" s="10" t="s">
        <v>71</v>
      </c>
      <c r="B69" s="11" t="s">
        <v>30</v>
      </c>
      <c r="C69" s="39">
        <v>250000</v>
      </c>
      <c r="D69" s="12">
        <f>IF((($D$2&gt;=4)*($D$2&lt;=11))=1,$C$2,0)</f>
        <v>0</v>
      </c>
      <c r="E69" s="39">
        <f t="shared" si="3"/>
        <v>0</v>
      </c>
    </row>
    <row r="70" spans="1:5" ht="22.5" customHeight="1" x14ac:dyDescent="0.15">
      <c r="A70" s="10" t="s">
        <v>72</v>
      </c>
      <c r="B70" s="11" t="s">
        <v>30</v>
      </c>
      <c r="C70" s="39">
        <v>200000</v>
      </c>
      <c r="D70" s="12"/>
      <c r="E70" s="39">
        <f t="shared" si="3"/>
        <v>0</v>
      </c>
    </row>
    <row r="71" spans="1:5" ht="22.5" customHeight="1" x14ac:dyDescent="0.2">
      <c r="A71" s="16" t="s">
        <v>42</v>
      </c>
      <c r="B71" s="7"/>
      <c r="C71" s="40"/>
      <c r="D71" s="12"/>
      <c r="E71" s="39">
        <f t="shared" si="3"/>
        <v>0</v>
      </c>
    </row>
    <row r="72" spans="1:5" ht="22.5" customHeight="1" x14ac:dyDescent="0.2">
      <c r="A72" s="9" t="s">
        <v>43</v>
      </c>
      <c r="B72" s="7"/>
      <c r="C72" s="40"/>
      <c r="D72" s="12"/>
      <c r="E72" s="39">
        <f t="shared" si="3"/>
        <v>0</v>
      </c>
    </row>
    <row r="73" spans="1:5" ht="22.5" customHeight="1" x14ac:dyDescent="0.15">
      <c r="A73" s="13" t="s">
        <v>44</v>
      </c>
      <c r="B73" s="11" t="s">
        <v>83</v>
      </c>
      <c r="C73" s="39">
        <v>50000</v>
      </c>
      <c r="D73" s="12">
        <f>ROUNDUP(D2*C2*$C$2/24,0)</f>
        <v>2</v>
      </c>
      <c r="E73" s="39">
        <f t="shared" si="3"/>
        <v>100000</v>
      </c>
    </row>
    <row r="74" spans="1:5" ht="22.5" customHeight="1" x14ac:dyDescent="0.15">
      <c r="A74" s="13" t="s">
        <v>46</v>
      </c>
      <c r="B74" s="11" t="s">
        <v>45</v>
      </c>
      <c r="C74" s="39">
        <v>100000</v>
      </c>
      <c r="D74" s="12">
        <v>1</v>
      </c>
      <c r="E74" s="39">
        <f t="shared" si="3"/>
        <v>100000</v>
      </c>
    </row>
    <row r="75" spans="1:5" ht="22.5" customHeight="1" x14ac:dyDescent="0.15">
      <c r="A75" s="13" t="s">
        <v>47</v>
      </c>
      <c r="B75" s="11" t="s">
        <v>17</v>
      </c>
      <c r="C75" s="39">
        <v>60000</v>
      </c>
      <c r="D75" s="12">
        <f>D2</f>
        <v>2</v>
      </c>
      <c r="E75" s="39">
        <f t="shared" si="3"/>
        <v>120000</v>
      </c>
    </row>
    <row r="76" spans="1:5" ht="22.5" customHeight="1" x14ac:dyDescent="0.2">
      <c r="A76" s="9" t="s">
        <v>48</v>
      </c>
      <c r="B76" s="7"/>
      <c r="C76" s="14"/>
      <c r="D76" s="12"/>
      <c r="E76" s="39">
        <f t="shared" si="3"/>
        <v>0</v>
      </c>
    </row>
    <row r="77" spans="1:5" ht="22.5" customHeight="1" x14ac:dyDescent="0.15">
      <c r="A77" s="13" t="s">
        <v>49</v>
      </c>
      <c r="B77" s="11" t="s">
        <v>38</v>
      </c>
      <c r="C77" s="12">
        <v>2000000</v>
      </c>
      <c r="D77" s="12"/>
      <c r="E77" s="39">
        <f t="shared" si="3"/>
        <v>0</v>
      </c>
    </row>
    <row r="78" spans="1:5" ht="22.5" customHeight="1" x14ac:dyDescent="0.2">
      <c r="A78" s="9" t="s">
        <v>50</v>
      </c>
      <c r="B78" s="7"/>
      <c r="C78" s="14"/>
      <c r="D78" s="12"/>
      <c r="E78" s="39">
        <f t="shared" si="3"/>
        <v>0</v>
      </c>
    </row>
    <row r="79" spans="1:5" ht="22.5" customHeight="1" x14ac:dyDescent="0.15">
      <c r="A79" s="13" t="s">
        <v>51</v>
      </c>
      <c r="B79" s="11" t="s">
        <v>17</v>
      </c>
      <c r="C79" s="12">
        <v>16000</v>
      </c>
      <c r="D79" s="12">
        <f>D2</f>
        <v>2</v>
      </c>
      <c r="E79" s="39">
        <f t="shared" si="3"/>
        <v>32000</v>
      </c>
    </row>
    <row r="80" spans="1:5" ht="22.5" customHeight="1" x14ac:dyDescent="0.15">
      <c r="A80" s="10" t="s">
        <v>61</v>
      </c>
      <c r="B80" s="11" t="s">
        <v>5</v>
      </c>
      <c r="C80" s="12">
        <v>100000</v>
      </c>
      <c r="D80" s="12">
        <v>1</v>
      </c>
      <c r="E80" s="39">
        <f>C80*D80</f>
        <v>100000</v>
      </c>
    </row>
    <row r="81" spans="1:5" s="1" customFormat="1" ht="30" customHeight="1" x14ac:dyDescent="0.15">
      <c r="A81" s="18" t="s">
        <v>84</v>
      </c>
      <c r="B81" s="17"/>
      <c r="C81" s="5"/>
      <c r="D81" s="12"/>
      <c r="E81" s="42">
        <f>SUM(E7:E80)</f>
        <v>7732000</v>
      </c>
    </row>
    <row r="82" spans="1:5" ht="36" customHeight="1" x14ac:dyDescent="0.15">
      <c r="A82" s="18" t="s">
        <v>88</v>
      </c>
      <c r="B82" s="8"/>
      <c r="C82" s="8"/>
      <c r="D82" s="8"/>
      <c r="E82" s="42">
        <f>E81/D2</f>
        <v>3866000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CF8A8-959E-468C-A56E-8C194BB75659}">
  <dimension ref="A1:G12"/>
  <sheetViews>
    <sheetView zoomScale="221" workbookViewId="0">
      <selection activeCell="C9" sqref="C9"/>
    </sheetView>
  </sheetViews>
  <sheetFormatPr baseColWidth="10" defaultColWidth="9" defaultRowHeight="13" x14ac:dyDescent="0.15"/>
  <cols>
    <col min="1" max="1" width="10.19921875" customWidth="1"/>
    <col min="2" max="2" width="20.796875" customWidth="1"/>
    <col min="3" max="3" width="22.19921875" customWidth="1"/>
    <col min="4" max="5" width="20" customWidth="1"/>
    <col min="6" max="6" width="19.796875" customWidth="1"/>
    <col min="7" max="7" width="28" customWidth="1"/>
  </cols>
  <sheetData>
    <row r="1" spans="1:7" ht="15" x14ac:dyDescent="0.2">
      <c r="A1" s="19" t="s">
        <v>85</v>
      </c>
      <c r="B1" s="19" t="s">
        <v>88</v>
      </c>
      <c r="C1" s="19" t="s">
        <v>84</v>
      </c>
      <c r="D1" s="19" t="s">
        <v>89</v>
      </c>
      <c r="E1" s="19" t="s">
        <v>90</v>
      </c>
      <c r="F1" s="19" t="s">
        <v>86</v>
      </c>
      <c r="G1" s="19" t="s">
        <v>87</v>
      </c>
    </row>
    <row r="2" spans="1:7" ht="15" x14ac:dyDescent="0.2">
      <c r="A2" s="20">
        <v>1</v>
      </c>
      <c r="B2" s="21">
        <f>'1 Pax'!E82</f>
        <v>7046000</v>
      </c>
      <c r="C2" s="22">
        <f t="shared" ref="C2" si="0">B2*A2</f>
        <v>7046000</v>
      </c>
      <c r="D2" s="21">
        <v>9000000</v>
      </c>
      <c r="E2" s="21">
        <f t="shared" ref="E2" si="1">D2*A2</f>
        <v>9000000</v>
      </c>
      <c r="F2" s="21">
        <f t="shared" ref="F2" si="2">E2-C2</f>
        <v>1954000</v>
      </c>
      <c r="G2" s="21">
        <f t="shared" ref="G2" si="3">F2/E2*100</f>
        <v>21.711111111111112</v>
      </c>
    </row>
    <row r="3" spans="1:7" ht="15" x14ac:dyDescent="0.2">
      <c r="A3" s="20">
        <v>2</v>
      </c>
      <c r="B3" s="21">
        <f>'2 Pax'!E82</f>
        <v>3841000</v>
      </c>
      <c r="C3" s="22">
        <f t="shared" ref="C3:C12" si="4">B3*A3</f>
        <v>7682000</v>
      </c>
      <c r="D3" s="21">
        <v>4850000</v>
      </c>
      <c r="E3" s="21">
        <f t="shared" ref="E3:E12" si="5">D3*A3</f>
        <v>9700000</v>
      </c>
      <c r="F3" s="21">
        <f t="shared" ref="F3:F12" si="6">E3-C3</f>
        <v>2018000</v>
      </c>
      <c r="G3" s="21">
        <f t="shared" ref="G3:G12" si="7">F3/E3*100</f>
        <v>20.804123711340207</v>
      </c>
    </row>
    <row r="4" spans="1:7" ht="15" x14ac:dyDescent="0.2">
      <c r="A4" s="23">
        <v>3</v>
      </c>
      <c r="B4" s="24">
        <f>'3 Pax'!E82</f>
        <v>2999333.3333333335</v>
      </c>
      <c r="C4" s="24">
        <f t="shared" si="4"/>
        <v>8998000</v>
      </c>
      <c r="D4" s="25">
        <v>4650000</v>
      </c>
      <c r="E4" s="25">
        <f t="shared" si="5"/>
        <v>13950000</v>
      </c>
      <c r="F4" s="25">
        <f t="shared" si="6"/>
        <v>4952000</v>
      </c>
      <c r="G4" s="25">
        <f t="shared" si="7"/>
        <v>35.498207885304659</v>
      </c>
    </row>
    <row r="5" spans="1:7" ht="15" x14ac:dyDescent="0.2">
      <c r="A5" s="23">
        <v>4</v>
      </c>
      <c r="B5" s="24">
        <f>'4 Pax'!E82</f>
        <v>3391000</v>
      </c>
      <c r="C5" s="24">
        <f t="shared" si="4"/>
        <v>13564000</v>
      </c>
      <c r="D5" s="25">
        <v>4350000</v>
      </c>
      <c r="E5" s="25">
        <f t="shared" si="5"/>
        <v>17400000</v>
      </c>
      <c r="F5" s="25">
        <f t="shared" si="6"/>
        <v>3836000</v>
      </c>
      <c r="G5" s="25">
        <f t="shared" si="7"/>
        <v>22.045977011494251</v>
      </c>
    </row>
    <row r="6" spans="1:7" ht="15" x14ac:dyDescent="0.2">
      <c r="A6" s="29">
        <v>5</v>
      </c>
      <c r="B6" s="30">
        <f>'5 Pax'!E82</f>
        <v>3076000</v>
      </c>
      <c r="C6" s="30">
        <f t="shared" si="4"/>
        <v>15380000</v>
      </c>
      <c r="D6" s="31">
        <v>4350000</v>
      </c>
      <c r="E6" s="31">
        <f t="shared" si="5"/>
        <v>21750000</v>
      </c>
      <c r="F6" s="31">
        <f t="shared" si="6"/>
        <v>6370000</v>
      </c>
      <c r="G6" s="31">
        <f t="shared" si="7"/>
        <v>29.287356321839081</v>
      </c>
    </row>
    <row r="7" spans="1:7" ht="15" x14ac:dyDescent="0.2">
      <c r="A7" s="29">
        <v>6</v>
      </c>
      <c r="B7" s="30">
        <f>'6 Pax'!E82</f>
        <v>2816000</v>
      </c>
      <c r="C7" s="30">
        <f t="shared" si="4"/>
        <v>16896000</v>
      </c>
      <c r="D7" s="31">
        <v>4050000</v>
      </c>
      <c r="E7" s="31">
        <f t="shared" si="5"/>
        <v>24300000</v>
      </c>
      <c r="F7" s="31">
        <f t="shared" si="6"/>
        <v>7404000</v>
      </c>
      <c r="G7" s="31">
        <f t="shared" si="7"/>
        <v>30.46913580246914</v>
      </c>
    </row>
    <row r="8" spans="1:7" ht="15" x14ac:dyDescent="0.2">
      <c r="A8" s="29">
        <v>7</v>
      </c>
      <c r="B8" s="30">
        <f>'7 Pax'!E82</f>
        <v>2601714.2857142859</v>
      </c>
      <c r="C8" s="30">
        <f t="shared" si="4"/>
        <v>18212000</v>
      </c>
      <c r="D8" s="31">
        <v>4050000</v>
      </c>
      <c r="E8" s="31">
        <f t="shared" si="5"/>
        <v>28350000</v>
      </c>
      <c r="F8" s="31">
        <f t="shared" si="6"/>
        <v>10138000</v>
      </c>
      <c r="G8" s="31">
        <f t="shared" si="7"/>
        <v>35.760141093474431</v>
      </c>
    </row>
    <row r="9" spans="1:7" ht="15" x14ac:dyDescent="0.2">
      <c r="A9" s="32">
        <v>8</v>
      </c>
      <c r="B9" s="33">
        <f>'8 Pax'!E82</f>
        <v>2472250</v>
      </c>
      <c r="C9" s="34">
        <f t="shared" si="4"/>
        <v>19778000</v>
      </c>
      <c r="D9" s="35">
        <v>3575000</v>
      </c>
      <c r="E9" s="35">
        <f t="shared" si="5"/>
        <v>28600000</v>
      </c>
      <c r="F9" s="35">
        <f t="shared" si="6"/>
        <v>8822000</v>
      </c>
      <c r="G9" s="35">
        <f t="shared" si="7"/>
        <v>30.846153846153847</v>
      </c>
    </row>
    <row r="10" spans="1:7" ht="15" x14ac:dyDescent="0.2">
      <c r="A10" s="32">
        <v>9</v>
      </c>
      <c r="B10" s="34">
        <f>'9 Pax'!E82</f>
        <v>2393777.777777778</v>
      </c>
      <c r="C10" s="34">
        <f t="shared" si="4"/>
        <v>21544000</v>
      </c>
      <c r="D10" s="35">
        <v>3575000</v>
      </c>
      <c r="E10" s="35">
        <f t="shared" si="5"/>
        <v>32175000</v>
      </c>
      <c r="F10" s="35">
        <f t="shared" si="6"/>
        <v>10631000</v>
      </c>
      <c r="G10" s="35">
        <f t="shared" si="7"/>
        <v>33.041181041181041</v>
      </c>
    </row>
    <row r="11" spans="1:7" ht="15" x14ac:dyDescent="0.2">
      <c r="A11" s="32">
        <v>10</v>
      </c>
      <c r="B11" s="34">
        <f>'10 Pax'!E82</f>
        <v>2591000</v>
      </c>
      <c r="C11" s="34">
        <f t="shared" si="4"/>
        <v>25910000</v>
      </c>
      <c r="D11" s="35">
        <v>3575000</v>
      </c>
      <c r="E11" s="35">
        <f t="shared" si="5"/>
        <v>35750000</v>
      </c>
      <c r="F11" s="35">
        <f t="shared" si="6"/>
        <v>9840000</v>
      </c>
      <c r="G11" s="35">
        <f t="shared" si="7"/>
        <v>27.524475524475523</v>
      </c>
    </row>
    <row r="12" spans="1:7" ht="15" x14ac:dyDescent="0.2">
      <c r="A12" s="26">
        <v>11</v>
      </c>
      <c r="B12" s="27">
        <f>'11 Pax'!E82</f>
        <v>2475090.9090909092</v>
      </c>
      <c r="C12" s="27">
        <f t="shared" si="4"/>
        <v>27226000</v>
      </c>
      <c r="D12" s="28">
        <v>3425000</v>
      </c>
      <c r="E12" s="28">
        <f t="shared" si="5"/>
        <v>37675000</v>
      </c>
      <c r="F12" s="28">
        <f t="shared" si="6"/>
        <v>10449000</v>
      </c>
      <c r="G12" s="28">
        <f t="shared" si="7"/>
        <v>27.734571997345718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EDE8F-A0E9-484A-B317-73010C844894}">
  <sheetPr>
    <pageSetUpPr fitToPage="1"/>
  </sheetPr>
  <dimension ref="A1:N82"/>
  <sheetViews>
    <sheetView tabSelected="1" topLeftCell="A76" zoomScale="145" zoomScaleNormal="70" workbookViewId="0">
      <selection activeCell="A95" sqref="A95"/>
    </sheetView>
  </sheetViews>
  <sheetFormatPr baseColWidth="10" defaultColWidth="9" defaultRowHeight="13" x14ac:dyDescent="0.15"/>
  <cols>
    <col min="1" max="1" width="103.19921875" bestFit="1" customWidth="1"/>
    <col min="2" max="2" width="23.19921875" customWidth="1"/>
    <col min="3" max="3" width="29.19921875" customWidth="1"/>
    <col min="4" max="4" width="24.19921875" customWidth="1"/>
    <col min="5" max="5" width="25.3984375" customWidth="1"/>
    <col min="8" max="8" width="7" bestFit="1" customWidth="1"/>
    <col min="9" max="10" width="20.796875" bestFit="1" customWidth="1"/>
    <col min="11" max="11" width="18.59765625" bestFit="1" customWidth="1"/>
    <col min="12" max="12" width="20.3984375" bestFit="1" customWidth="1"/>
    <col min="13" max="13" width="18.59765625" bestFit="1" customWidth="1"/>
    <col min="14" max="14" width="27.3984375" bestFit="1" customWidth="1"/>
  </cols>
  <sheetData>
    <row r="1" spans="1:5" ht="25.5" customHeight="1" x14ac:dyDescent="0.15">
      <c r="A1" s="2" t="s">
        <v>77</v>
      </c>
      <c r="B1" s="2" t="s">
        <v>78</v>
      </c>
      <c r="C1" s="2" t="s">
        <v>79</v>
      </c>
      <c r="D1" s="2" t="s">
        <v>80</v>
      </c>
    </row>
    <row r="2" spans="1:5" ht="27.75" customHeight="1" x14ac:dyDescent="0.15">
      <c r="A2" s="3" t="s">
        <v>94</v>
      </c>
      <c r="B2" s="3">
        <v>54</v>
      </c>
      <c r="C2" s="3">
        <v>4</v>
      </c>
      <c r="D2" s="43">
        <v>1</v>
      </c>
    </row>
    <row r="3" spans="1:5" ht="27.75" customHeight="1" x14ac:dyDescent="0.15">
      <c r="A3" s="4"/>
      <c r="B3" s="4"/>
      <c r="C3" s="4"/>
    </row>
    <row r="4" spans="1:5" ht="35.25" customHeight="1" x14ac:dyDescent="0.15">
      <c r="A4" s="5" t="s">
        <v>0</v>
      </c>
      <c r="B4" s="5" t="s">
        <v>1</v>
      </c>
      <c r="C4" s="5" t="s">
        <v>2</v>
      </c>
      <c r="D4" s="5" t="s">
        <v>81</v>
      </c>
      <c r="E4" s="5" t="s">
        <v>82</v>
      </c>
    </row>
    <row r="5" spans="1:5" ht="22.5" customHeight="1" x14ac:dyDescent="0.2">
      <c r="A5" s="6" t="s">
        <v>3</v>
      </c>
      <c r="B5" s="7"/>
      <c r="C5" s="7"/>
      <c r="D5" s="8"/>
      <c r="E5" s="8"/>
    </row>
    <row r="6" spans="1:5" ht="22.5" customHeight="1" x14ac:dyDescent="0.2">
      <c r="A6" s="9" t="s">
        <v>4</v>
      </c>
      <c r="B6" s="7"/>
      <c r="C6" s="7"/>
      <c r="D6" s="8"/>
      <c r="E6" s="8"/>
    </row>
    <row r="7" spans="1:5" ht="22.5" customHeight="1" x14ac:dyDescent="0.15">
      <c r="A7" s="10" t="s">
        <v>97</v>
      </c>
      <c r="B7" s="11" t="s">
        <v>5</v>
      </c>
      <c r="C7" s="39">
        <v>500000</v>
      </c>
      <c r="D7" s="12">
        <f>ROUNDUP($D$2/2,0)</f>
        <v>1</v>
      </c>
      <c r="E7" s="39">
        <f t="shared" ref="E7:E9" si="0">C7*D7</f>
        <v>500000</v>
      </c>
    </row>
    <row r="8" spans="1:5" ht="22.5" customHeight="1" x14ac:dyDescent="0.15">
      <c r="A8" s="10" t="s">
        <v>98</v>
      </c>
      <c r="B8" s="11" t="s">
        <v>5</v>
      </c>
      <c r="C8" s="39">
        <v>250000</v>
      </c>
      <c r="D8" s="12"/>
      <c r="E8" s="39">
        <f t="shared" si="0"/>
        <v>0</v>
      </c>
    </row>
    <row r="9" spans="1:5" ht="22.5" customHeight="1" x14ac:dyDescent="0.15">
      <c r="A9" s="10" t="s">
        <v>73</v>
      </c>
      <c r="B9" s="11" t="s">
        <v>5</v>
      </c>
      <c r="C9" s="39">
        <v>560000</v>
      </c>
      <c r="D9" s="12"/>
      <c r="E9" s="39">
        <f t="shared" si="0"/>
        <v>0</v>
      </c>
    </row>
    <row r="10" spans="1:5" ht="22.5" hidden="1" customHeight="1" x14ac:dyDescent="0.15">
      <c r="A10" s="13" t="s">
        <v>6</v>
      </c>
      <c r="B10" s="11" t="s">
        <v>5</v>
      </c>
      <c r="C10" s="39">
        <v>435000</v>
      </c>
      <c r="D10" s="12"/>
      <c r="E10" s="39">
        <f>C10*D10</f>
        <v>0</v>
      </c>
    </row>
    <row r="11" spans="1:5" ht="22.5" hidden="1" customHeight="1" x14ac:dyDescent="0.15">
      <c r="A11" s="13" t="s">
        <v>7</v>
      </c>
      <c r="B11" s="11" t="s">
        <v>5</v>
      </c>
      <c r="C11" s="39">
        <v>300000</v>
      </c>
      <c r="D11" s="12"/>
      <c r="E11" s="39">
        <f t="shared" ref="E11:E74" si="1">C11*D11</f>
        <v>0</v>
      </c>
    </row>
    <row r="12" spans="1:5" ht="22.5" hidden="1" customHeight="1" x14ac:dyDescent="0.15">
      <c r="A12" s="10" t="s">
        <v>52</v>
      </c>
      <c r="B12" s="11" t="s">
        <v>5</v>
      </c>
      <c r="C12" s="39">
        <v>250000</v>
      </c>
      <c r="D12" s="12"/>
      <c r="E12" s="39">
        <f t="shared" si="1"/>
        <v>0</v>
      </c>
    </row>
    <row r="13" spans="1:5" ht="22.5" hidden="1" customHeight="1" x14ac:dyDescent="0.15">
      <c r="A13" s="10" t="s">
        <v>53</v>
      </c>
      <c r="B13" s="11" t="s">
        <v>5</v>
      </c>
      <c r="C13" s="39">
        <v>275000</v>
      </c>
      <c r="D13" s="12"/>
      <c r="E13" s="39">
        <f t="shared" si="1"/>
        <v>0</v>
      </c>
    </row>
    <row r="14" spans="1:5" ht="22.5" hidden="1" customHeight="1" x14ac:dyDescent="0.15">
      <c r="A14" s="10" t="s">
        <v>54</v>
      </c>
      <c r="B14" s="11" t="s">
        <v>5</v>
      </c>
      <c r="C14" s="39">
        <v>450000</v>
      </c>
      <c r="D14" s="12"/>
      <c r="E14" s="39">
        <f t="shared" si="1"/>
        <v>0</v>
      </c>
    </row>
    <row r="15" spans="1:5" ht="22.5" hidden="1" customHeight="1" x14ac:dyDescent="0.15">
      <c r="A15" s="10" t="s">
        <v>55</v>
      </c>
      <c r="B15" s="11" t="s">
        <v>5</v>
      </c>
      <c r="C15" s="39">
        <v>450000</v>
      </c>
      <c r="D15" s="12"/>
      <c r="E15" s="39">
        <f t="shared" si="1"/>
        <v>0</v>
      </c>
    </row>
    <row r="16" spans="1:5" ht="22.5" hidden="1" customHeight="1" x14ac:dyDescent="0.15">
      <c r="A16" s="10" t="s">
        <v>65</v>
      </c>
      <c r="B16" s="11" t="s">
        <v>5</v>
      </c>
      <c r="C16" s="39">
        <v>337500</v>
      </c>
      <c r="D16" s="12"/>
      <c r="E16" s="39">
        <f t="shared" si="1"/>
        <v>0</v>
      </c>
    </row>
    <row r="17" spans="1:14" ht="22.5" hidden="1" customHeight="1" x14ac:dyDescent="0.2">
      <c r="A17" s="10" t="s">
        <v>67</v>
      </c>
      <c r="B17" s="11" t="s">
        <v>5</v>
      </c>
      <c r="C17" s="39">
        <v>375000</v>
      </c>
      <c r="D17" s="12"/>
      <c r="E17" s="39">
        <f t="shared" si="1"/>
        <v>0</v>
      </c>
      <c r="H17" s="36"/>
      <c r="I17" s="37"/>
      <c r="J17" s="37"/>
      <c r="K17" s="38"/>
      <c r="L17" s="38"/>
      <c r="M17" s="38"/>
      <c r="N17" s="38"/>
    </row>
    <row r="18" spans="1:14" ht="22.5" hidden="1" customHeight="1" x14ac:dyDescent="0.2">
      <c r="A18" s="10" t="s">
        <v>66</v>
      </c>
      <c r="B18" s="11" t="s">
        <v>5</v>
      </c>
      <c r="C18" s="39">
        <v>412500</v>
      </c>
      <c r="D18" s="12"/>
      <c r="E18" s="39">
        <f t="shared" si="1"/>
        <v>0</v>
      </c>
      <c r="H18" s="36"/>
      <c r="I18" s="37"/>
      <c r="J18" s="37"/>
      <c r="K18" s="38"/>
      <c r="L18" s="38"/>
      <c r="M18" s="38"/>
      <c r="N18" s="38"/>
    </row>
    <row r="19" spans="1:14" ht="22.5" hidden="1" customHeight="1" x14ac:dyDescent="0.2">
      <c r="A19" s="10" t="s">
        <v>68</v>
      </c>
      <c r="B19" s="11" t="s">
        <v>5</v>
      </c>
      <c r="C19" s="39">
        <v>487500</v>
      </c>
      <c r="D19" s="12"/>
      <c r="E19" s="39">
        <f t="shared" si="1"/>
        <v>0</v>
      </c>
      <c r="H19" s="36"/>
      <c r="I19" s="37"/>
      <c r="J19" s="37"/>
      <c r="K19" s="38"/>
      <c r="L19" s="38"/>
      <c r="M19" s="38"/>
      <c r="N19" s="38"/>
    </row>
    <row r="20" spans="1:14" ht="22.5" hidden="1" customHeight="1" x14ac:dyDescent="0.2">
      <c r="A20" s="10" t="s">
        <v>69</v>
      </c>
      <c r="B20" s="11" t="s">
        <v>5</v>
      </c>
      <c r="C20" s="39">
        <v>562500</v>
      </c>
      <c r="D20" s="12"/>
      <c r="E20" s="39">
        <f t="shared" si="1"/>
        <v>0</v>
      </c>
      <c r="H20" s="36"/>
      <c r="I20" s="37"/>
      <c r="J20" s="37"/>
      <c r="K20" s="38"/>
      <c r="L20" s="38"/>
      <c r="M20" s="38"/>
      <c r="N20" s="38"/>
    </row>
    <row r="21" spans="1:14" ht="22.5" customHeight="1" x14ac:dyDescent="0.2">
      <c r="A21" s="9" t="s">
        <v>8</v>
      </c>
      <c r="B21" s="7"/>
      <c r="C21" s="40"/>
      <c r="D21" s="12"/>
      <c r="E21" s="39"/>
    </row>
    <row r="22" spans="1:14" ht="22.5" customHeight="1" x14ac:dyDescent="0.15">
      <c r="A22" s="10" t="s">
        <v>62</v>
      </c>
      <c r="B22" s="11" t="s">
        <v>5</v>
      </c>
      <c r="C22" s="39">
        <v>750000</v>
      </c>
      <c r="D22" s="12">
        <f>ROUNDUP(D2/2,0)</f>
        <v>1</v>
      </c>
      <c r="E22" s="39">
        <f t="shared" si="1"/>
        <v>750000</v>
      </c>
    </row>
    <row r="23" spans="1:14" ht="22.5" customHeight="1" x14ac:dyDescent="0.15">
      <c r="A23" s="10" t="s">
        <v>63</v>
      </c>
      <c r="B23" s="11" t="s">
        <v>5</v>
      </c>
      <c r="C23" s="39">
        <v>950000</v>
      </c>
      <c r="D23" s="12"/>
      <c r="E23" s="39">
        <f t="shared" si="1"/>
        <v>0</v>
      </c>
    </row>
    <row r="24" spans="1:14" ht="22.5" customHeight="1" x14ac:dyDescent="0.15">
      <c r="A24" s="10" t="s">
        <v>64</v>
      </c>
      <c r="B24" s="11" t="s">
        <v>5</v>
      </c>
      <c r="C24" s="39">
        <v>300000</v>
      </c>
      <c r="D24" s="12"/>
      <c r="E24" s="39">
        <f t="shared" si="1"/>
        <v>0</v>
      </c>
    </row>
    <row r="25" spans="1:14" ht="22.5" customHeight="1" x14ac:dyDescent="0.2">
      <c r="A25" s="9" t="s">
        <v>9</v>
      </c>
      <c r="B25" s="7"/>
      <c r="C25" s="40"/>
      <c r="D25" s="12"/>
      <c r="E25" s="39">
        <f t="shared" si="1"/>
        <v>0</v>
      </c>
    </row>
    <row r="26" spans="1:14" ht="22.5" customHeight="1" x14ac:dyDescent="0.15">
      <c r="A26" s="10" t="s">
        <v>56</v>
      </c>
      <c r="B26" s="11" t="s">
        <v>5</v>
      </c>
      <c r="C26" s="39">
        <v>425000</v>
      </c>
      <c r="D26" s="12"/>
      <c r="E26" s="39">
        <f t="shared" si="1"/>
        <v>0</v>
      </c>
    </row>
    <row r="27" spans="1:14" ht="22.5" customHeight="1" x14ac:dyDescent="0.15">
      <c r="A27" s="10" t="s">
        <v>10</v>
      </c>
      <c r="B27" s="11" t="s">
        <v>5</v>
      </c>
      <c r="C27" s="39">
        <v>260000</v>
      </c>
      <c r="D27" s="12">
        <f>ROUNDUP($D$2/2,0)</f>
        <v>1</v>
      </c>
      <c r="E27" s="39">
        <f t="shared" si="1"/>
        <v>260000</v>
      </c>
    </row>
    <row r="28" spans="1:14" ht="22.5" customHeight="1" x14ac:dyDescent="0.15">
      <c r="A28" s="10" t="s">
        <v>11</v>
      </c>
      <c r="B28" s="11" t="s">
        <v>5</v>
      </c>
      <c r="C28" s="39">
        <v>300000</v>
      </c>
      <c r="D28" s="12"/>
      <c r="E28" s="39">
        <f t="shared" si="1"/>
        <v>0</v>
      </c>
    </row>
    <row r="29" spans="1:14" ht="22.5" customHeight="1" x14ac:dyDescent="0.15">
      <c r="A29" s="13" t="s">
        <v>12</v>
      </c>
      <c r="B29" s="11" t="s">
        <v>5</v>
      </c>
      <c r="C29" s="39">
        <v>316000</v>
      </c>
      <c r="D29" s="12"/>
      <c r="E29" s="39">
        <f t="shared" si="1"/>
        <v>0</v>
      </c>
    </row>
    <row r="30" spans="1:14" ht="22.5" customHeight="1" x14ac:dyDescent="0.15">
      <c r="A30" s="13" t="s">
        <v>13</v>
      </c>
      <c r="B30" s="11" t="s">
        <v>5</v>
      </c>
      <c r="C30" s="39">
        <v>380000</v>
      </c>
      <c r="D30" s="12"/>
      <c r="E30" s="39">
        <f t="shared" si="1"/>
        <v>0</v>
      </c>
    </row>
    <row r="31" spans="1:14" ht="22.5" customHeight="1" x14ac:dyDescent="0.15">
      <c r="A31" s="13" t="s">
        <v>14</v>
      </c>
      <c r="B31" s="11" t="s">
        <v>5</v>
      </c>
      <c r="C31" s="39">
        <v>440000</v>
      </c>
      <c r="D31" s="12"/>
      <c r="E31" s="39">
        <f t="shared" si="1"/>
        <v>0</v>
      </c>
    </row>
    <row r="32" spans="1:14" ht="22.5" customHeight="1" x14ac:dyDescent="0.2">
      <c r="A32" s="6" t="s">
        <v>15</v>
      </c>
      <c r="B32" s="7"/>
      <c r="C32" s="40"/>
      <c r="D32" s="12"/>
      <c r="E32" s="39">
        <f t="shared" si="1"/>
        <v>0</v>
      </c>
    </row>
    <row r="33" spans="1:5" ht="22.5" customHeight="1" x14ac:dyDescent="0.2">
      <c r="A33" s="9" t="s">
        <v>16</v>
      </c>
      <c r="B33" s="7"/>
      <c r="C33" s="40"/>
      <c r="D33" s="12"/>
      <c r="E33" s="39">
        <f t="shared" si="1"/>
        <v>0</v>
      </c>
    </row>
    <row r="34" spans="1:5" ht="22.5" customHeight="1" x14ac:dyDescent="0.15">
      <c r="A34" s="10" t="s">
        <v>60</v>
      </c>
      <c r="B34" s="11" t="s">
        <v>17</v>
      </c>
      <c r="C34" s="39">
        <v>75000</v>
      </c>
      <c r="D34" s="12">
        <f>$D$2</f>
        <v>1</v>
      </c>
      <c r="E34" s="39">
        <f t="shared" si="1"/>
        <v>75000</v>
      </c>
    </row>
    <row r="35" spans="1:5" ht="22.5" customHeight="1" x14ac:dyDescent="0.15">
      <c r="A35" s="13" t="s">
        <v>18</v>
      </c>
      <c r="B35" s="11" t="s">
        <v>17</v>
      </c>
      <c r="C35" s="39">
        <v>55000</v>
      </c>
      <c r="D35" s="12"/>
      <c r="E35" s="39">
        <f t="shared" si="1"/>
        <v>0</v>
      </c>
    </row>
    <row r="36" spans="1:5" ht="22.5" customHeight="1" x14ac:dyDescent="0.15">
      <c r="A36" s="10" t="s">
        <v>19</v>
      </c>
      <c r="B36" s="11" t="s">
        <v>17</v>
      </c>
      <c r="C36" s="39">
        <v>25000</v>
      </c>
      <c r="D36" s="12">
        <f>$D$2</f>
        <v>1</v>
      </c>
      <c r="E36" s="39">
        <f t="shared" si="1"/>
        <v>25000</v>
      </c>
    </row>
    <row r="37" spans="1:5" ht="22.5" customHeight="1" x14ac:dyDescent="0.15">
      <c r="A37" s="10" t="s">
        <v>76</v>
      </c>
      <c r="B37" s="11" t="s">
        <v>5</v>
      </c>
      <c r="C37" s="39">
        <v>250000</v>
      </c>
      <c r="D37" s="12">
        <v>1</v>
      </c>
      <c r="E37" s="39">
        <f t="shared" si="1"/>
        <v>250000</v>
      </c>
    </row>
    <row r="38" spans="1:5" ht="22.5" customHeight="1" x14ac:dyDescent="0.15">
      <c r="A38" s="13" t="s">
        <v>95</v>
      </c>
      <c r="B38" s="11" t="s">
        <v>17</v>
      </c>
      <c r="C38" s="39">
        <v>65000</v>
      </c>
      <c r="D38" s="12"/>
      <c r="E38" s="39">
        <f t="shared" si="1"/>
        <v>0</v>
      </c>
    </row>
    <row r="39" spans="1:5" ht="22.5" customHeight="1" x14ac:dyDescent="0.15">
      <c r="A39" s="13" t="s">
        <v>96</v>
      </c>
      <c r="B39" s="11" t="s">
        <v>17</v>
      </c>
      <c r="C39" s="39">
        <v>65000</v>
      </c>
      <c r="D39" s="12"/>
      <c r="E39" s="39">
        <f t="shared" si="1"/>
        <v>0</v>
      </c>
    </row>
    <row r="40" spans="1:5" ht="22.5" customHeight="1" x14ac:dyDescent="0.15">
      <c r="A40" s="10" t="s">
        <v>57</v>
      </c>
      <c r="B40" s="11" t="s">
        <v>17</v>
      </c>
      <c r="C40" s="39">
        <v>60000</v>
      </c>
      <c r="D40" s="12">
        <f>D2</f>
        <v>1</v>
      </c>
      <c r="E40" s="39">
        <f t="shared" si="1"/>
        <v>60000</v>
      </c>
    </row>
    <row r="41" spans="1:5" ht="22.5" customHeight="1" x14ac:dyDescent="0.15">
      <c r="A41" s="10" t="s">
        <v>58</v>
      </c>
      <c r="B41" s="11" t="s">
        <v>17</v>
      </c>
      <c r="C41" s="39">
        <v>60000</v>
      </c>
      <c r="D41" s="12"/>
      <c r="E41" s="39">
        <f t="shared" si="1"/>
        <v>0</v>
      </c>
    </row>
    <row r="42" spans="1:5" ht="22.5" customHeight="1" x14ac:dyDescent="0.15">
      <c r="A42" s="13" t="s">
        <v>20</v>
      </c>
      <c r="B42" s="11" t="s">
        <v>5</v>
      </c>
      <c r="C42" s="39">
        <v>35000</v>
      </c>
      <c r="D42" s="12"/>
      <c r="E42" s="39">
        <f t="shared" si="1"/>
        <v>0</v>
      </c>
    </row>
    <row r="43" spans="1:5" ht="22.5" customHeight="1" x14ac:dyDescent="0.2">
      <c r="A43" s="9" t="s">
        <v>21</v>
      </c>
      <c r="B43" s="7"/>
      <c r="C43" s="41"/>
      <c r="D43" s="12"/>
      <c r="E43" s="39"/>
    </row>
    <row r="44" spans="1:5" ht="22.5" customHeight="1" x14ac:dyDescent="0.15">
      <c r="A44" s="10" t="s">
        <v>59</v>
      </c>
      <c r="B44" s="11" t="s">
        <v>17</v>
      </c>
      <c r="C44" s="39">
        <v>160000</v>
      </c>
      <c r="D44" s="12">
        <f>D2</f>
        <v>1</v>
      </c>
      <c r="E44" s="39">
        <f t="shared" si="1"/>
        <v>160000</v>
      </c>
    </row>
    <row r="45" spans="1:5" ht="22.5" customHeight="1" x14ac:dyDescent="0.15">
      <c r="A45" s="13" t="s">
        <v>22</v>
      </c>
      <c r="B45" s="11" t="s">
        <v>17</v>
      </c>
      <c r="C45" s="39">
        <v>500000</v>
      </c>
      <c r="D45" s="12">
        <f>ROUNDUP(D2/4,0)</f>
        <v>1</v>
      </c>
      <c r="E45" s="39">
        <f t="shared" si="1"/>
        <v>500000</v>
      </c>
    </row>
    <row r="46" spans="1:5" ht="22.5" customHeight="1" x14ac:dyDescent="0.2">
      <c r="A46" s="9" t="s">
        <v>23</v>
      </c>
      <c r="B46" s="7"/>
      <c r="C46" s="41"/>
      <c r="D46" s="12"/>
      <c r="E46" s="39">
        <f t="shared" si="1"/>
        <v>0</v>
      </c>
    </row>
    <row r="47" spans="1:5" ht="22.5" customHeight="1" x14ac:dyDescent="0.15">
      <c r="A47" s="13" t="s">
        <v>24</v>
      </c>
      <c r="B47" s="11" t="s">
        <v>17</v>
      </c>
      <c r="C47" s="39">
        <v>150000</v>
      </c>
      <c r="D47" s="12">
        <f>D2</f>
        <v>1</v>
      </c>
      <c r="E47" s="39">
        <f t="shared" si="1"/>
        <v>150000</v>
      </c>
    </row>
    <row r="48" spans="1:5" ht="22.5" customHeight="1" x14ac:dyDescent="0.15">
      <c r="A48" s="10" t="s">
        <v>75</v>
      </c>
      <c r="B48" s="11" t="s">
        <v>5</v>
      </c>
      <c r="C48" s="39">
        <v>200000</v>
      </c>
      <c r="D48" s="12">
        <v>1</v>
      </c>
      <c r="E48" s="39">
        <f t="shared" si="1"/>
        <v>200000</v>
      </c>
    </row>
    <row r="49" spans="1:5" ht="22.5" customHeight="1" x14ac:dyDescent="0.15">
      <c r="A49" s="13" t="s">
        <v>25</v>
      </c>
      <c r="B49" s="11" t="s">
        <v>17</v>
      </c>
      <c r="C49" s="39">
        <v>50000</v>
      </c>
      <c r="D49" s="12">
        <f>D2</f>
        <v>1</v>
      </c>
      <c r="E49" s="39">
        <f t="shared" si="1"/>
        <v>50000</v>
      </c>
    </row>
    <row r="50" spans="1:5" ht="22.5" customHeight="1" x14ac:dyDescent="0.15">
      <c r="A50" s="13" t="s">
        <v>26</v>
      </c>
      <c r="B50" s="11" t="s">
        <v>17</v>
      </c>
      <c r="C50" s="39">
        <v>40000</v>
      </c>
      <c r="D50" s="12">
        <f>$D$2</f>
        <v>1</v>
      </c>
      <c r="E50" s="39">
        <f t="shared" si="1"/>
        <v>40000</v>
      </c>
    </row>
    <row r="51" spans="1:5" ht="22.5" customHeight="1" x14ac:dyDescent="0.2">
      <c r="A51" s="16" t="s">
        <v>27</v>
      </c>
      <c r="B51" s="7"/>
      <c r="C51" s="40"/>
      <c r="D51" s="12"/>
      <c r="E51" s="39"/>
    </row>
    <row r="52" spans="1:5" ht="22.5" customHeight="1" x14ac:dyDescent="0.2">
      <c r="A52" s="9" t="s">
        <v>28</v>
      </c>
      <c r="B52" s="7"/>
      <c r="C52" s="40"/>
      <c r="D52" s="12"/>
      <c r="E52" s="39"/>
    </row>
    <row r="53" spans="1:5" ht="22.5" customHeight="1" x14ac:dyDescent="0.15">
      <c r="A53" s="13" t="s">
        <v>29</v>
      </c>
      <c r="B53" s="11" t="s">
        <v>30</v>
      </c>
      <c r="C53" s="39">
        <v>450000</v>
      </c>
      <c r="D53" s="12">
        <f>IF($D$2=1,$C$2, IF($D$2=2,$C$2,0))</f>
        <v>4</v>
      </c>
      <c r="E53" s="39">
        <f t="shared" si="1"/>
        <v>1800000</v>
      </c>
    </row>
    <row r="54" spans="1:5" ht="22.5" customHeight="1" x14ac:dyDescent="0.15">
      <c r="A54" s="13" t="s">
        <v>31</v>
      </c>
      <c r="B54" s="11" t="s">
        <v>30</v>
      </c>
      <c r="C54" s="39">
        <v>550000</v>
      </c>
      <c r="D54" s="12">
        <f>IF($D$2=3,$C$2, 0)</f>
        <v>0</v>
      </c>
      <c r="E54" s="39">
        <f t="shared" si="1"/>
        <v>0</v>
      </c>
    </row>
    <row r="55" spans="1:5" ht="22.5" customHeight="1" x14ac:dyDescent="0.15">
      <c r="A55" s="10" t="s">
        <v>32</v>
      </c>
      <c r="B55" s="11" t="s">
        <v>30</v>
      </c>
      <c r="C55" s="39">
        <v>1100000</v>
      </c>
      <c r="D55" s="12">
        <f>IF((($D$2&gt;=4)*($D$2&lt;=11))=1,$C$2,0)</f>
        <v>0</v>
      </c>
      <c r="E55" s="39">
        <f t="shared" si="1"/>
        <v>0</v>
      </c>
    </row>
    <row r="56" spans="1:5" ht="22.5" customHeight="1" x14ac:dyDescent="0.15">
      <c r="A56" s="13" t="s">
        <v>33</v>
      </c>
      <c r="B56" s="11" t="s">
        <v>30</v>
      </c>
      <c r="C56" s="39">
        <v>1300000</v>
      </c>
      <c r="D56" s="12"/>
      <c r="E56" s="39">
        <f t="shared" si="1"/>
        <v>0</v>
      </c>
    </row>
    <row r="57" spans="1:5" ht="22.5" customHeight="1" x14ac:dyDescent="0.15">
      <c r="A57" s="10" t="s">
        <v>91</v>
      </c>
      <c r="B57" s="11" t="s">
        <v>30</v>
      </c>
      <c r="C57" s="39">
        <v>650000</v>
      </c>
      <c r="D57" s="12">
        <f>IF((($D$2&gt;=10)*($D$2&lt;=11))=1,1,0)</f>
        <v>0</v>
      </c>
      <c r="E57" s="39">
        <f t="shared" si="1"/>
        <v>0</v>
      </c>
    </row>
    <row r="58" spans="1:5" ht="22.5" customHeight="1" x14ac:dyDescent="0.2">
      <c r="A58" s="9" t="s">
        <v>34</v>
      </c>
      <c r="B58" s="7"/>
      <c r="C58" s="40"/>
      <c r="D58" s="12"/>
      <c r="E58" s="39"/>
    </row>
    <row r="59" spans="1:5" ht="22.5" customHeight="1" x14ac:dyDescent="0.15">
      <c r="A59" s="13" t="s">
        <v>35</v>
      </c>
      <c r="B59" s="11" t="s">
        <v>5</v>
      </c>
      <c r="C59" s="39">
        <v>200000</v>
      </c>
      <c r="D59" s="12">
        <f>IF((($D$2&gt;=10)*($D$2&lt;=11))=1,2,1)</f>
        <v>1</v>
      </c>
      <c r="E59" s="39">
        <f t="shared" si="1"/>
        <v>200000</v>
      </c>
    </row>
    <row r="60" spans="1:5" ht="22.5" customHeight="1" x14ac:dyDescent="0.15">
      <c r="A60" s="10" t="s">
        <v>70</v>
      </c>
      <c r="B60" s="11" t="s">
        <v>5</v>
      </c>
      <c r="C60" s="39">
        <v>300000</v>
      </c>
      <c r="D60" s="12"/>
      <c r="E60" s="39">
        <f t="shared" si="1"/>
        <v>0</v>
      </c>
    </row>
    <row r="61" spans="1:5" ht="22.5" customHeight="1" x14ac:dyDescent="0.2">
      <c r="A61" s="9" t="s">
        <v>36</v>
      </c>
      <c r="B61" s="7"/>
      <c r="C61" s="40"/>
      <c r="D61" s="12"/>
      <c r="E61" s="39">
        <f t="shared" si="1"/>
        <v>0</v>
      </c>
    </row>
    <row r="62" spans="1:5" ht="22.5" customHeight="1" x14ac:dyDescent="0.15">
      <c r="A62" s="13" t="s">
        <v>37</v>
      </c>
      <c r="B62" s="11" t="s">
        <v>38</v>
      </c>
      <c r="C62" s="39">
        <v>200000</v>
      </c>
      <c r="D62" s="12"/>
      <c r="E62" s="39">
        <f t="shared" si="1"/>
        <v>0</v>
      </c>
    </row>
    <row r="63" spans="1:5" ht="22.5" customHeight="1" x14ac:dyDescent="0.2">
      <c r="A63" s="15" t="s">
        <v>74</v>
      </c>
      <c r="B63" s="7"/>
      <c r="C63" s="40"/>
      <c r="D63" s="12"/>
      <c r="E63" s="39">
        <f t="shared" si="1"/>
        <v>0</v>
      </c>
    </row>
    <row r="64" spans="1:5" ht="22.5" customHeight="1" x14ac:dyDescent="0.15">
      <c r="A64" s="10" t="s">
        <v>92</v>
      </c>
      <c r="B64" s="11" t="s">
        <v>38</v>
      </c>
      <c r="C64" s="39">
        <v>700000</v>
      </c>
      <c r="D64" s="12">
        <f>IF((($D$2&gt;=1)*($D$2&lt;=3))=1,1,0)</f>
        <v>1</v>
      </c>
      <c r="E64" s="39">
        <f t="shared" si="1"/>
        <v>700000</v>
      </c>
    </row>
    <row r="65" spans="1:5" ht="22.5" customHeight="1" x14ac:dyDescent="0.15">
      <c r="A65" s="10" t="s">
        <v>93</v>
      </c>
      <c r="B65" s="11" t="s">
        <v>38</v>
      </c>
      <c r="C65" s="39">
        <v>1100000</v>
      </c>
      <c r="D65" s="12">
        <f>IF((($D$2&gt;=4)*($D$2&lt;=11))=1,1,0)</f>
        <v>0</v>
      </c>
      <c r="E65" s="39">
        <f t="shared" si="1"/>
        <v>0</v>
      </c>
    </row>
    <row r="66" spans="1:5" ht="22.5" customHeight="1" x14ac:dyDescent="0.2">
      <c r="A66" s="16" t="s">
        <v>39</v>
      </c>
      <c r="B66" s="7"/>
      <c r="C66" s="40"/>
      <c r="D66" s="12"/>
      <c r="E66" s="39">
        <f t="shared" si="1"/>
        <v>0</v>
      </c>
    </row>
    <row r="67" spans="1:5" ht="22.5" customHeight="1" x14ac:dyDescent="0.2">
      <c r="A67" s="9" t="s">
        <v>40</v>
      </c>
      <c r="B67" s="7"/>
      <c r="C67" s="40"/>
      <c r="D67" s="12"/>
      <c r="E67" s="39">
        <f t="shared" si="1"/>
        <v>0</v>
      </c>
    </row>
    <row r="68" spans="1:5" ht="22.5" customHeight="1" x14ac:dyDescent="0.15">
      <c r="A68" s="13" t="s">
        <v>41</v>
      </c>
      <c r="B68" s="11" t="s">
        <v>30</v>
      </c>
      <c r="C68" s="39">
        <v>250000</v>
      </c>
      <c r="D68" s="12">
        <f>IF((($D$2&gt;=1)*($D$2&lt;=3))=1,$C$2,0)</f>
        <v>4</v>
      </c>
      <c r="E68" s="39">
        <f t="shared" si="1"/>
        <v>1000000</v>
      </c>
    </row>
    <row r="69" spans="1:5" ht="22.5" customHeight="1" x14ac:dyDescent="0.15">
      <c r="A69" s="10" t="s">
        <v>71</v>
      </c>
      <c r="B69" s="11" t="s">
        <v>30</v>
      </c>
      <c r="C69" s="39">
        <v>250000</v>
      </c>
      <c r="D69" s="12">
        <f>IF((($D$2&gt;=4)*($D$2&lt;=11))=1,$C$2,0)</f>
        <v>0</v>
      </c>
      <c r="E69" s="39">
        <f t="shared" si="1"/>
        <v>0</v>
      </c>
    </row>
    <row r="70" spans="1:5" ht="22.5" customHeight="1" x14ac:dyDescent="0.15">
      <c r="A70" s="10" t="s">
        <v>72</v>
      </c>
      <c r="B70" s="11" t="s">
        <v>30</v>
      </c>
      <c r="C70" s="39">
        <v>200000</v>
      </c>
      <c r="D70" s="12"/>
      <c r="E70" s="39">
        <f t="shared" si="1"/>
        <v>0</v>
      </c>
    </row>
    <row r="71" spans="1:5" ht="22.5" customHeight="1" x14ac:dyDescent="0.2">
      <c r="A71" s="16" t="s">
        <v>42</v>
      </c>
      <c r="B71" s="7"/>
      <c r="C71" s="40"/>
      <c r="D71" s="12"/>
      <c r="E71" s="39">
        <f t="shared" si="1"/>
        <v>0</v>
      </c>
    </row>
    <row r="72" spans="1:5" ht="22.5" customHeight="1" x14ac:dyDescent="0.2">
      <c r="A72" s="9" t="s">
        <v>43</v>
      </c>
      <c r="B72" s="7"/>
      <c r="C72" s="40"/>
      <c r="D72" s="12"/>
      <c r="E72" s="39">
        <f t="shared" si="1"/>
        <v>0</v>
      </c>
    </row>
    <row r="73" spans="1:5" ht="22.5" customHeight="1" x14ac:dyDescent="0.15">
      <c r="A73" s="13" t="s">
        <v>44</v>
      </c>
      <c r="B73" s="11" t="s">
        <v>83</v>
      </c>
      <c r="C73" s="39">
        <v>50000</v>
      </c>
      <c r="D73" s="12">
        <f>ROUNDUP(D2*C2*$C$2/24,0)</f>
        <v>1</v>
      </c>
      <c r="E73" s="39">
        <f t="shared" si="1"/>
        <v>50000</v>
      </c>
    </row>
    <row r="74" spans="1:5" ht="22.5" customHeight="1" x14ac:dyDescent="0.15">
      <c r="A74" s="13" t="s">
        <v>46</v>
      </c>
      <c r="B74" s="11" t="s">
        <v>45</v>
      </c>
      <c r="C74" s="39">
        <v>100000</v>
      </c>
      <c r="D74" s="12">
        <v>1</v>
      </c>
      <c r="E74" s="39">
        <f t="shared" si="1"/>
        <v>100000</v>
      </c>
    </row>
    <row r="75" spans="1:5" ht="22.5" customHeight="1" x14ac:dyDescent="0.15">
      <c r="A75" s="13" t="s">
        <v>47</v>
      </c>
      <c r="B75" s="11" t="s">
        <v>17</v>
      </c>
      <c r="C75" s="39">
        <v>60000</v>
      </c>
      <c r="D75" s="12">
        <f>D2</f>
        <v>1</v>
      </c>
      <c r="E75" s="39">
        <f t="shared" ref="E75:E104" si="2">C75*D75</f>
        <v>60000</v>
      </c>
    </row>
    <row r="76" spans="1:5" ht="22.5" customHeight="1" x14ac:dyDescent="0.2">
      <c r="A76" s="9" t="s">
        <v>48</v>
      </c>
      <c r="B76" s="7"/>
      <c r="C76" s="14"/>
      <c r="D76" s="12"/>
      <c r="E76" s="39">
        <f t="shared" si="2"/>
        <v>0</v>
      </c>
    </row>
    <row r="77" spans="1:5" ht="22.5" customHeight="1" x14ac:dyDescent="0.15">
      <c r="A77" s="13" t="s">
        <v>49</v>
      </c>
      <c r="B77" s="11" t="s">
        <v>38</v>
      </c>
      <c r="C77" s="12">
        <v>2000000</v>
      </c>
      <c r="D77" s="12"/>
      <c r="E77" s="39">
        <f t="shared" si="2"/>
        <v>0</v>
      </c>
    </row>
    <row r="78" spans="1:5" ht="22.5" customHeight="1" x14ac:dyDescent="0.2">
      <c r="A78" s="9" t="s">
        <v>50</v>
      </c>
      <c r="B78" s="7"/>
      <c r="C78" s="14"/>
      <c r="D78" s="12"/>
      <c r="E78" s="39">
        <f t="shared" si="2"/>
        <v>0</v>
      </c>
    </row>
    <row r="79" spans="1:5" ht="22.5" customHeight="1" x14ac:dyDescent="0.15">
      <c r="A79" s="13" t="s">
        <v>51</v>
      </c>
      <c r="B79" s="11" t="s">
        <v>17</v>
      </c>
      <c r="C79" s="12">
        <v>16000</v>
      </c>
      <c r="D79" s="12">
        <f>D2</f>
        <v>1</v>
      </c>
      <c r="E79" s="39">
        <f t="shared" si="2"/>
        <v>16000</v>
      </c>
    </row>
    <row r="80" spans="1:5" ht="22.5" customHeight="1" x14ac:dyDescent="0.15">
      <c r="A80" s="10" t="s">
        <v>61</v>
      </c>
      <c r="B80" s="11" t="s">
        <v>5</v>
      </c>
      <c r="C80" s="12">
        <v>100000</v>
      </c>
      <c r="D80" s="12">
        <v>1</v>
      </c>
      <c r="E80" s="39">
        <f>C80*D80</f>
        <v>100000</v>
      </c>
    </row>
    <row r="81" spans="1:5" s="1" customFormat="1" ht="30" customHeight="1" x14ac:dyDescent="0.15">
      <c r="A81" s="18" t="s">
        <v>84</v>
      </c>
      <c r="B81" s="17"/>
      <c r="C81" s="5"/>
      <c r="D81" s="12"/>
      <c r="E81" s="42">
        <f>SUM(E7:E80)</f>
        <v>7046000</v>
      </c>
    </row>
    <row r="82" spans="1:5" ht="36" customHeight="1" x14ac:dyDescent="0.15">
      <c r="A82" s="18" t="s">
        <v>88</v>
      </c>
      <c r="B82" s="8"/>
      <c r="C82" s="8"/>
      <c r="D82" s="8"/>
      <c r="E82" s="42">
        <f>E81/D2</f>
        <v>7046000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32F0B-D3C9-4ACC-B7AF-AD4B295D45A5}">
  <sheetPr>
    <pageSetUpPr fitToPage="1"/>
  </sheetPr>
  <dimension ref="A1:N82"/>
  <sheetViews>
    <sheetView topLeftCell="A51" zoomScale="70" zoomScaleNormal="70" workbookViewId="0">
      <selection activeCell="C65" sqref="C65"/>
    </sheetView>
  </sheetViews>
  <sheetFormatPr baseColWidth="10" defaultColWidth="9" defaultRowHeight="13" x14ac:dyDescent="0.15"/>
  <cols>
    <col min="1" max="1" width="103.19921875" bestFit="1" customWidth="1"/>
    <col min="2" max="2" width="23.19921875" customWidth="1"/>
    <col min="3" max="3" width="29.19921875" customWidth="1"/>
    <col min="4" max="4" width="24.19921875" customWidth="1"/>
    <col min="5" max="5" width="25.3984375" customWidth="1"/>
    <col min="8" max="8" width="7" bestFit="1" customWidth="1"/>
    <col min="9" max="10" width="20.796875" bestFit="1" customWidth="1"/>
    <col min="11" max="11" width="18.59765625" bestFit="1" customWidth="1"/>
    <col min="12" max="12" width="20.3984375" bestFit="1" customWidth="1"/>
    <col min="13" max="13" width="18.59765625" bestFit="1" customWidth="1"/>
    <col min="14" max="14" width="27.3984375" bestFit="1" customWidth="1"/>
  </cols>
  <sheetData>
    <row r="1" spans="1:5" ht="25.5" customHeight="1" x14ac:dyDescent="0.15">
      <c r="A1" s="2" t="s">
        <v>77</v>
      </c>
      <c r="B1" s="2" t="s">
        <v>78</v>
      </c>
      <c r="C1" s="2" t="s">
        <v>79</v>
      </c>
      <c r="D1" s="2" t="s">
        <v>80</v>
      </c>
    </row>
    <row r="2" spans="1:5" ht="27.75" customHeight="1" x14ac:dyDescent="0.15">
      <c r="A2" s="3" t="s">
        <v>94</v>
      </c>
      <c r="B2" s="3">
        <v>54</v>
      </c>
      <c r="C2" s="3">
        <v>4</v>
      </c>
      <c r="D2" s="43">
        <v>2</v>
      </c>
    </row>
    <row r="3" spans="1:5" ht="27.75" customHeight="1" x14ac:dyDescent="0.15">
      <c r="A3" s="4"/>
      <c r="B3" s="4"/>
      <c r="C3" s="4"/>
    </row>
    <row r="4" spans="1:5" ht="35.25" customHeight="1" x14ac:dyDescent="0.15">
      <c r="A4" s="5" t="s">
        <v>0</v>
      </c>
      <c r="B4" s="5" t="s">
        <v>1</v>
      </c>
      <c r="C4" s="5" t="s">
        <v>2</v>
      </c>
      <c r="D4" s="5" t="s">
        <v>81</v>
      </c>
      <c r="E4" s="5" t="s">
        <v>82</v>
      </c>
    </row>
    <row r="5" spans="1:5" ht="22.5" customHeight="1" x14ac:dyDescent="0.2">
      <c r="A5" s="6" t="s">
        <v>3</v>
      </c>
      <c r="B5" s="7"/>
      <c r="C5" s="7"/>
      <c r="D5" s="8"/>
      <c r="E5" s="8"/>
    </row>
    <row r="6" spans="1:5" ht="22.5" customHeight="1" x14ac:dyDescent="0.2">
      <c r="A6" s="9" t="s">
        <v>4</v>
      </c>
      <c r="B6" s="7"/>
      <c r="C6" s="7"/>
      <c r="D6" s="8"/>
      <c r="E6" s="8"/>
    </row>
    <row r="7" spans="1:5" ht="22.5" customHeight="1" x14ac:dyDescent="0.15">
      <c r="A7" s="10" t="s">
        <v>97</v>
      </c>
      <c r="B7" s="11" t="s">
        <v>5</v>
      </c>
      <c r="C7" s="39">
        <v>500000</v>
      </c>
      <c r="D7" s="12">
        <f>ROUNDUP($D$2/2,0)</f>
        <v>1</v>
      </c>
      <c r="E7" s="39">
        <f t="shared" ref="E7:E9" si="0">C7*D7</f>
        <v>500000</v>
      </c>
    </row>
    <row r="8" spans="1:5" ht="22.5" customHeight="1" x14ac:dyDescent="0.15">
      <c r="A8" s="10" t="s">
        <v>98</v>
      </c>
      <c r="B8" s="11" t="s">
        <v>5</v>
      </c>
      <c r="C8" s="39">
        <v>250000</v>
      </c>
      <c r="D8" s="12"/>
      <c r="E8" s="39">
        <f t="shared" si="0"/>
        <v>0</v>
      </c>
    </row>
    <row r="9" spans="1:5" ht="22.5" customHeight="1" x14ac:dyDescent="0.15">
      <c r="A9" s="10" t="s">
        <v>73</v>
      </c>
      <c r="B9" s="11" t="s">
        <v>5</v>
      </c>
      <c r="C9" s="39">
        <v>560000</v>
      </c>
      <c r="D9" s="12"/>
      <c r="E9" s="39">
        <f t="shared" si="0"/>
        <v>0</v>
      </c>
    </row>
    <row r="10" spans="1:5" ht="22.5" hidden="1" customHeight="1" x14ac:dyDescent="0.15">
      <c r="A10" s="13" t="s">
        <v>6</v>
      </c>
      <c r="B10" s="11" t="s">
        <v>5</v>
      </c>
      <c r="C10" s="39">
        <v>435000</v>
      </c>
      <c r="D10" s="12"/>
      <c r="E10" s="39">
        <f>C10*D10</f>
        <v>0</v>
      </c>
    </row>
    <row r="11" spans="1:5" ht="22.5" hidden="1" customHeight="1" x14ac:dyDescent="0.15">
      <c r="A11" s="13" t="s">
        <v>7</v>
      </c>
      <c r="B11" s="11" t="s">
        <v>5</v>
      </c>
      <c r="C11" s="39">
        <v>300000</v>
      </c>
      <c r="D11" s="12"/>
      <c r="E11" s="39">
        <f t="shared" ref="E11:E74" si="1">C11*D11</f>
        <v>0</v>
      </c>
    </row>
    <row r="12" spans="1:5" ht="22.5" hidden="1" customHeight="1" x14ac:dyDescent="0.15">
      <c r="A12" s="10" t="s">
        <v>52</v>
      </c>
      <c r="B12" s="11" t="s">
        <v>5</v>
      </c>
      <c r="C12" s="39">
        <v>250000</v>
      </c>
      <c r="D12" s="12"/>
      <c r="E12" s="39">
        <f t="shared" si="1"/>
        <v>0</v>
      </c>
    </row>
    <row r="13" spans="1:5" ht="22.5" hidden="1" customHeight="1" x14ac:dyDescent="0.15">
      <c r="A13" s="10" t="s">
        <v>53</v>
      </c>
      <c r="B13" s="11" t="s">
        <v>5</v>
      </c>
      <c r="C13" s="39">
        <v>275000</v>
      </c>
      <c r="D13" s="12"/>
      <c r="E13" s="39">
        <f t="shared" si="1"/>
        <v>0</v>
      </c>
    </row>
    <row r="14" spans="1:5" ht="22.5" hidden="1" customHeight="1" x14ac:dyDescent="0.15">
      <c r="A14" s="10" t="s">
        <v>54</v>
      </c>
      <c r="B14" s="11" t="s">
        <v>5</v>
      </c>
      <c r="C14" s="39">
        <v>450000</v>
      </c>
      <c r="D14" s="12"/>
      <c r="E14" s="39">
        <f t="shared" si="1"/>
        <v>0</v>
      </c>
    </row>
    <row r="15" spans="1:5" ht="22.5" hidden="1" customHeight="1" x14ac:dyDescent="0.15">
      <c r="A15" s="10" t="s">
        <v>55</v>
      </c>
      <c r="B15" s="11" t="s">
        <v>5</v>
      </c>
      <c r="C15" s="39">
        <v>450000</v>
      </c>
      <c r="D15" s="12"/>
      <c r="E15" s="39">
        <f t="shared" si="1"/>
        <v>0</v>
      </c>
    </row>
    <row r="16" spans="1:5" ht="22.5" hidden="1" customHeight="1" x14ac:dyDescent="0.15">
      <c r="A16" s="10" t="s">
        <v>65</v>
      </c>
      <c r="B16" s="11" t="s">
        <v>5</v>
      </c>
      <c r="C16" s="39">
        <v>337500</v>
      </c>
      <c r="D16" s="12"/>
      <c r="E16" s="39">
        <f t="shared" si="1"/>
        <v>0</v>
      </c>
    </row>
    <row r="17" spans="1:14" ht="22.5" hidden="1" customHeight="1" x14ac:dyDescent="0.2">
      <c r="A17" s="10" t="s">
        <v>67</v>
      </c>
      <c r="B17" s="11" t="s">
        <v>5</v>
      </c>
      <c r="C17" s="39">
        <v>375000</v>
      </c>
      <c r="D17" s="12"/>
      <c r="E17" s="39">
        <f t="shared" si="1"/>
        <v>0</v>
      </c>
      <c r="H17" s="36"/>
      <c r="I17" s="37"/>
      <c r="J17" s="37"/>
      <c r="K17" s="38"/>
      <c r="L17" s="38"/>
      <c r="M17" s="38"/>
      <c r="N17" s="38"/>
    </row>
    <row r="18" spans="1:14" ht="22.5" hidden="1" customHeight="1" x14ac:dyDescent="0.2">
      <c r="A18" s="10" t="s">
        <v>66</v>
      </c>
      <c r="B18" s="11" t="s">
        <v>5</v>
      </c>
      <c r="C18" s="39">
        <v>412500</v>
      </c>
      <c r="D18" s="12"/>
      <c r="E18" s="39">
        <f t="shared" si="1"/>
        <v>0</v>
      </c>
      <c r="H18" s="36"/>
      <c r="I18" s="37"/>
      <c r="J18" s="37"/>
      <c r="K18" s="38"/>
      <c r="L18" s="38"/>
      <c r="M18" s="38"/>
      <c r="N18" s="38"/>
    </row>
    <row r="19" spans="1:14" ht="22.5" hidden="1" customHeight="1" x14ac:dyDescent="0.2">
      <c r="A19" s="10" t="s">
        <v>68</v>
      </c>
      <c r="B19" s="11" t="s">
        <v>5</v>
      </c>
      <c r="C19" s="39">
        <v>487500</v>
      </c>
      <c r="D19" s="12"/>
      <c r="E19" s="39">
        <f t="shared" si="1"/>
        <v>0</v>
      </c>
      <c r="H19" s="36"/>
      <c r="I19" s="37"/>
      <c r="J19" s="37"/>
      <c r="K19" s="38"/>
      <c r="L19" s="38"/>
      <c r="M19" s="38"/>
      <c r="N19" s="38"/>
    </row>
    <row r="20" spans="1:14" ht="22.5" hidden="1" customHeight="1" x14ac:dyDescent="0.2">
      <c r="A20" s="10" t="s">
        <v>69</v>
      </c>
      <c r="B20" s="11" t="s">
        <v>5</v>
      </c>
      <c r="C20" s="39">
        <v>562500</v>
      </c>
      <c r="D20" s="12"/>
      <c r="E20" s="39">
        <f t="shared" si="1"/>
        <v>0</v>
      </c>
      <c r="H20" s="36"/>
      <c r="I20" s="37"/>
      <c r="J20" s="37"/>
      <c r="K20" s="38"/>
      <c r="L20" s="38"/>
      <c r="M20" s="38"/>
      <c r="N20" s="38"/>
    </row>
    <row r="21" spans="1:14" ht="22.5" customHeight="1" x14ac:dyDescent="0.2">
      <c r="A21" s="9" t="s">
        <v>8</v>
      </c>
      <c r="B21" s="7"/>
      <c r="C21" s="40"/>
      <c r="D21" s="12"/>
      <c r="E21" s="39"/>
    </row>
    <row r="22" spans="1:14" ht="22.5" customHeight="1" x14ac:dyDescent="0.15">
      <c r="A22" s="10" t="s">
        <v>62</v>
      </c>
      <c r="B22" s="11" t="s">
        <v>5</v>
      </c>
      <c r="C22" s="39">
        <v>750000</v>
      </c>
      <c r="D22" s="12">
        <f>ROUNDUP(D2/2,0)</f>
        <v>1</v>
      </c>
      <c r="E22" s="39">
        <f t="shared" si="1"/>
        <v>750000</v>
      </c>
    </row>
    <row r="23" spans="1:14" ht="22.5" customHeight="1" x14ac:dyDescent="0.15">
      <c r="A23" s="10" t="s">
        <v>63</v>
      </c>
      <c r="B23" s="11" t="s">
        <v>5</v>
      </c>
      <c r="C23" s="39">
        <v>950000</v>
      </c>
      <c r="D23" s="12"/>
      <c r="E23" s="39">
        <f t="shared" si="1"/>
        <v>0</v>
      </c>
    </row>
    <row r="24" spans="1:14" ht="22.5" customHeight="1" x14ac:dyDescent="0.15">
      <c r="A24" s="10" t="s">
        <v>64</v>
      </c>
      <c r="B24" s="11" t="s">
        <v>5</v>
      </c>
      <c r="C24" s="39">
        <v>300000</v>
      </c>
      <c r="D24" s="12"/>
      <c r="E24" s="39">
        <f t="shared" si="1"/>
        <v>0</v>
      </c>
    </row>
    <row r="25" spans="1:14" ht="22.5" customHeight="1" x14ac:dyDescent="0.2">
      <c r="A25" s="9" t="s">
        <v>9</v>
      </c>
      <c r="B25" s="7"/>
      <c r="C25" s="40"/>
      <c r="D25" s="12"/>
      <c r="E25" s="39">
        <f t="shared" si="1"/>
        <v>0</v>
      </c>
    </row>
    <row r="26" spans="1:14" ht="22.5" customHeight="1" x14ac:dyDescent="0.15">
      <c r="A26" s="10" t="s">
        <v>56</v>
      </c>
      <c r="B26" s="11" t="s">
        <v>5</v>
      </c>
      <c r="C26" s="39">
        <v>467500</v>
      </c>
      <c r="D26" s="12"/>
      <c r="E26" s="39">
        <f t="shared" si="1"/>
        <v>0</v>
      </c>
    </row>
    <row r="27" spans="1:14" ht="22.5" customHeight="1" x14ac:dyDescent="0.15">
      <c r="A27" s="10" t="s">
        <v>10</v>
      </c>
      <c r="B27" s="11" t="s">
        <v>5</v>
      </c>
      <c r="C27" s="39">
        <v>260000</v>
      </c>
      <c r="D27" s="12">
        <f>ROUNDUP($D$2/2,0)</f>
        <v>1</v>
      </c>
      <c r="E27" s="39">
        <f t="shared" si="1"/>
        <v>260000</v>
      </c>
    </row>
    <row r="28" spans="1:14" ht="22.5" customHeight="1" x14ac:dyDescent="0.15">
      <c r="A28" s="10" t="s">
        <v>11</v>
      </c>
      <c r="B28" s="11" t="s">
        <v>5</v>
      </c>
      <c r="C28" s="39">
        <v>300000</v>
      </c>
      <c r="D28" s="12"/>
      <c r="E28" s="39">
        <f t="shared" si="1"/>
        <v>0</v>
      </c>
    </row>
    <row r="29" spans="1:14" ht="22.5" customHeight="1" x14ac:dyDescent="0.15">
      <c r="A29" s="13" t="s">
        <v>12</v>
      </c>
      <c r="B29" s="11" t="s">
        <v>5</v>
      </c>
      <c r="C29" s="39">
        <v>316000</v>
      </c>
      <c r="D29" s="12"/>
      <c r="E29" s="39">
        <f t="shared" si="1"/>
        <v>0</v>
      </c>
    </row>
    <row r="30" spans="1:14" ht="22.5" customHeight="1" x14ac:dyDescent="0.15">
      <c r="A30" s="13" t="s">
        <v>13</v>
      </c>
      <c r="B30" s="11" t="s">
        <v>5</v>
      </c>
      <c r="C30" s="39">
        <v>380000</v>
      </c>
      <c r="D30" s="12"/>
      <c r="E30" s="39">
        <f t="shared" si="1"/>
        <v>0</v>
      </c>
    </row>
    <row r="31" spans="1:14" ht="22.5" customHeight="1" x14ac:dyDescent="0.15">
      <c r="A31" s="13" t="s">
        <v>14</v>
      </c>
      <c r="B31" s="11" t="s">
        <v>5</v>
      </c>
      <c r="C31" s="39">
        <v>440000</v>
      </c>
      <c r="D31" s="12"/>
      <c r="E31" s="39">
        <f t="shared" si="1"/>
        <v>0</v>
      </c>
    </row>
    <row r="32" spans="1:14" ht="22.5" customHeight="1" x14ac:dyDescent="0.2">
      <c r="A32" s="6" t="s">
        <v>15</v>
      </c>
      <c r="B32" s="7"/>
      <c r="C32" s="40"/>
      <c r="D32" s="12"/>
      <c r="E32" s="39">
        <f t="shared" si="1"/>
        <v>0</v>
      </c>
    </row>
    <row r="33" spans="1:5" ht="22.5" customHeight="1" x14ac:dyDescent="0.2">
      <c r="A33" s="9" t="s">
        <v>16</v>
      </c>
      <c r="B33" s="7"/>
      <c r="C33" s="40"/>
      <c r="D33" s="12"/>
      <c r="E33" s="39">
        <f t="shared" si="1"/>
        <v>0</v>
      </c>
    </row>
    <row r="34" spans="1:5" ht="22.5" customHeight="1" x14ac:dyDescent="0.15">
      <c r="A34" s="10" t="s">
        <v>60</v>
      </c>
      <c r="B34" s="11" t="s">
        <v>17</v>
      </c>
      <c r="C34" s="39">
        <v>75000</v>
      </c>
      <c r="D34" s="12">
        <f>$D$2</f>
        <v>2</v>
      </c>
      <c r="E34" s="39">
        <f t="shared" si="1"/>
        <v>150000</v>
      </c>
    </row>
    <row r="35" spans="1:5" ht="22.5" customHeight="1" x14ac:dyDescent="0.15">
      <c r="A35" s="13" t="s">
        <v>18</v>
      </c>
      <c r="B35" s="11" t="s">
        <v>17</v>
      </c>
      <c r="C35" s="39">
        <v>55000</v>
      </c>
      <c r="D35" s="12"/>
      <c r="E35" s="39">
        <f t="shared" si="1"/>
        <v>0</v>
      </c>
    </row>
    <row r="36" spans="1:5" ht="22.5" customHeight="1" x14ac:dyDescent="0.15">
      <c r="A36" s="10" t="s">
        <v>19</v>
      </c>
      <c r="B36" s="11" t="s">
        <v>17</v>
      </c>
      <c r="C36" s="39">
        <v>25000</v>
      </c>
      <c r="D36" s="12">
        <f>$D$2</f>
        <v>2</v>
      </c>
      <c r="E36" s="39">
        <f t="shared" si="1"/>
        <v>50000</v>
      </c>
    </row>
    <row r="37" spans="1:5" ht="22.5" customHeight="1" x14ac:dyDescent="0.15">
      <c r="A37" s="10" t="s">
        <v>76</v>
      </c>
      <c r="B37" s="11" t="s">
        <v>5</v>
      </c>
      <c r="C37" s="39">
        <v>250000</v>
      </c>
      <c r="D37" s="12">
        <v>1</v>
      </c>
      <c r="E37" s="39">
        <f t="shared" si="1"/>
        <v>250000</v>
      </c>
    </row>
    <row r="38" spans="1:5" ht="22.5" customHeight="1" x14ac:dyDescent="0.15">
      <c r="A38" s="13" t="s">
        <v>95</v>
      </c>
      <c r="B38" s="11" t="s">
        <v>17</v>
      </c>
      <c r="C38" s="39">
        <v>65000</v>
      </c>
      <c r="D38" s="12"/>
      <c r="E38" s="39">
        <f t="shared" si="1"/>
        <v>0</v>
      </c>
    </row>
    <row r="39" spans="1:5" ht="22.5" customHeight="1" x14ac:dyDescent="0.15">
      <c r="A39" s="13" t="s">
        <v>96</v>
      </c>
      <c r="B39" s="11" t="s">
        <v>17</v>
      </c>
      <c r="C39" s="39">
        <v>65000</v>
      </c>
      <c r="D39" s="12"/>
      <c r="E39" s="39">
        <f t="shared" si="1"/>
        <v>0</v>
      </c>
    </row>
    <row r="40" spans="1:5" ht="22.5" customHeight="1" x14ac:dyDescent="0.15">
      <c r="A40" s="10" t="s">
        <v>57</v>
      </c>
      <c r="B40" s="11" t="s">
        <v>17</v>
      </c>
      <c r="C40" s="39">
        <v>60000</v>
      </c>
      <c r="D40" s="12">
        <f>D2</f>
        <v>2</v>
      </c>
      <c r="E40" s="39">
        <f t="shared" si="1"/>
        <v>120000</v>
      </c>
    </row>
    <row r="41" spans="1:5" ht="22.5" customHeight="1" x14ac:dyDescent="0.15">
      <c r="A41" s="10" t="s">
        <v>58</v>
      </c>
      <c r="B41" s="11" t="s">
        <v>17</v>
      </c>
      <c r="C41" s="39">
        <v>60000</v>
      </c>
      <c r="D41" s="12"/>
      <c r="E41" s="39">
        <f t="shared" si="1"/>
        <v>0</v>
      </c>
    </row>
    <row r="42" spans="1:5" ht="22.5" customHeight="1" x14ac:dyDescent="0.15">
      <c r="A42" s="13" t="s">
        <v>20</v>
      </c>
      <c r="B42" s="11" t="s">
        <v>5</v>
      </c>
      <c r="C42" s="39">
        <v>35000</v>
      </c>
      <c r="D42" s="12"/>
      <c r="E42" s="39">
        <f t="shared" si="1"/>
        <v>0</v>
      </c>
    </row>
    <row r="43" spans="1:5" ht="22.5" customHeight="1" x14ac:dyDescent="0.2">
      <c r="A43" s="9" t="s">
        <v>21</v>
      </c>
      <c r="B43" s="7"/>
      <c r="C43" s="41"/>
      <c r="D43" s="12"/>
      <c r="E43" s="39"/>
    </row>
    <row r="44" spans="1:5" ht="22.5" customHeight="1" x14ac:dyDescent="0.15">
      <c r="A44" s="10" t="s">
        <v>59</v>
      </c>
      <c r="B44" s="11" t="s">
        <v>17</v>
      </c>
      <c r="C44" s="39">
        <v>160000</v>
      </c>
      <c r="D44" s="12">
        <f>D2</f>
        <v>2</v>
      </c>
      <c r="E44" s="39">
        <f t="shared" si="1"/>
        <v>320000</v>
      </c>
    </row>
    <row r="45" spans="1:5" ht="22.5" customHeight="1" x14ac:dyDescent="0.15">
      <c r="A45" s="13" t="s">
        <v>22</v>
      </c>
      <c r="B45" s="11" t="s">
        <v>17</v>
      </c>
      <c r="C45" s="39">
        <v>500000</v>
      </c>
      <c r="D45" s="12">
        <f>ROUNDUP(D2/4,0)</f>
        <v>1</v>
      </c>
      <c r="E45" s="39">
        <f t="shared" si="1"/>
        <v>500000</v>
      </c>
    </row>
    <row r="46" spans="1:5" ht="22.5" customHeight="1" x14ac:dyDescent="0.2">
      <c r="A46" s="9" t="s">
        <v>23</v>
      </c>
      <c r="B46" s="7"/>
      <c r="C46" s="41"/>
      <c r="D46" s="12"/>
      <c r="E46" s="39">
        <f t="shared" si="1"/>
        <v>0</v>
      </c>
    </row>
    <row r="47" spans="1:5" ht="22.5" customHeight="1" x14ac:dyDescent="0.15">
      <c r="A47" s="13" t="s">
        <v>24</v>
      </c>
      <c r="B47" s="11" t="s">
        <v>17</v>
      </c>
      <c r="C47" s="39">
        <v>150000</v>
      </c>
      <c r="D47" s="12">
        <f>D2</f>
        <v>2</v>
      </c>
      <c r="E47" s="39">
        <f t="shared" si="1"/>
        <v>300000</v>
      </c>
    </row>
    <row r="48" spans="1:5" ht="22.5" customHeight="1" x14ac:dyDescent="0.15">
      <c r="A48" s="10" t="s">
        <v>75</v>
      </c>
      <c r="B48" s="11" t="s">
        <v>5</v>
      </c>
      <c r="C48" s="39">
        <v>200000</v>
      </c>
      <c r="D48" s="12">
        <v>1</v>
      </c>
      <c r="E48" s="39">
        <f t="shared" si="1"/>
        <v>200000</v>
      </c>
    </row>
    <row r="49" spans="1:5" ht="22.5" customHeight="1" x14ac:dyDescent="0.15">
      <c r="A49" s="13" t="s">
        <v>25</v>
      </c>
      <c r="B49" s="11" t="s">
        <v>17</v>
      </c>
      <c r="C49" s="39">
        <v>50000</v>
      </c>
      <c r="D49" s="12">
        <f>D2</f>
        <v>2</v>
      </c>
      <c r="E49" s="39">
        <f t="shared" si="1"/>
        <v>100000</v>
      </c>
    </row>
    <row r="50" spans="1:5" ht="22.5" customHeight="1" x14ac:dyDescent="0.15">
      <c r="A50" s="13" t="s">
        <v>26</v>
      </c>
      <c r="B50" s="11" t="s">
        <v>17</v>
      </c>
      <c r="C50" s="39">
        <v>40000</v>
      </c>
      <c r="D50" s="12">
        <f>$D$2</f>
        <v>2</v>
      </c>
      <c r="E50" s="39">
        <f t="shared" si="1"/>
        <v>80000</v>
      </c>
    </row>
    <row r="51" spans="1:5" ht="22.5" customHeight="1" x14ac:dyDescent="0.2">
      <c r="A51" s="16" t="s">
        <v>27</v>
      </c>
      <c r="B51" s="7"/>
      <c r="C51" s="40"/>
      <c r="D51" s="12"/>
      <c r="E51" s="39"/>
    </row>
    <row r="52" spans="1:5" ht="22.5" customHeight="1" x14ac:dyDescent="0.2">
      <c r="A52" s="9" t="s">
        <v>28</v>
      </c>
      <c r="B52" s="7"/>
      <c r="C52" s="40"/>
      <c r="D52" s="12"/>
      <c r="E52" s="39"/>
    </row>
    <row r="53" spans="1:5" ht="22.5" customHeight="1" x14ac:dyDescent="0.15">
      <c r="A53" s="13" t="s">
        <v>29</v>
      </c>
      <c r="B53" s="11" t="s">
        <v>30</v>
      </c>
      <c r="C53" s="39">
        <v>450000</v>
      </c>
      <c r="D53" s="12">
        <f>IF($D$2=1,$C$2, IF($D$2=2,$C$2,0))</f>
        <v>4</v>
      </c>
      <c r="E53" s="39">
        <f t="shared" si="1"/>
        <v>1800000</v>
      </c>
    </row>
    <row r="54" spans="1:5" ht="22.5" customHeight="1" x14ac:dyDescent="0.15">
      <c r="A54" s="13" t="s">
        <v>31</v>
      </c>
      <c r="B54" s="11" t="s">
        <v>30</v>
      </c>
      <c r="C54" s="39">
        <v>550000</v>
      </c>
      <c r="D54" s="12">
        <f>IF($D$2=3,$C$2, 0)</f>
        <v>0</v>
      </c>
      <c r="E54" s="39">
        <f t="shared" si="1"/>
        <v>0</v>
      </c>
    </row>
    <row r="55" spans="1:5" ht="22.5" customHeight="1" x14ac:dyDescent="0.15">
      <c r="A55" s="10" t="s">
        <v>32</v>
      </c>
      <c r="B55" s="11" t="s">
        <v>30</v>
      </c>
      <c r="C55" s="39">
        <v>1100000</v>
      </c>
      <c r="D55" s="12">
        <f>IF((($D$2&gt;=4)*($D$2&lt;=11))=1,$C$2,0)</f>
        <v>0</v>
      </c>
      <c r="E55" s="39">
        <f t="shared" si="1"/>
        <v>0</v>
      </c>
    </row>
    <row r="56" spans="1:5" ht="22.5" customHeight="1" x14ac:dyDescent="0.15">
      <c r="A56" s="13" t="s">
        <v>33</v>
      </c>
      <c r="B56" s="11" t="s">
        <v>30</v>
      </c>
      <c r="C56" s="39">
        <v>1300000</v>
      </c>
      <c r="D56" s="12"/>
      <c r="E56" s="39">
        <f t="shared" si="1"/>
        <v>0</v>
      </c>
    </row>
    <row r="57" spans="1:5" ht="22.5" customHeight="1" x14ac:dyDescent="0.15">
      <c r="A57" s="10" t="s">
        <v>91</v>
      </c>
      <c r="B57" s="11" t="s">
        <v>30</v>
      </c>
      <c r="C57" s="39">
        <v>650000</v>
      </c>
      <c r="D57" s="12">
        <f>IF((($D$2&gt;=10)*($D$2&lt;=11))=1,1,0)</f>
        <v>0</v>
      </c>
      <c r="E57" s="39">
        <f t="shared" si="1"/>
        <v>0</v>
      </c>
    </row>
    <row r="58" spans="1:5" ht="22.5" customHeight="1" x14ac:dyDescent="0.2">
      <c r="A58" s="9" t="s">
        <v>34</v>
      </c>
      <c r="B58" s="7"/>
      <c r="C58" s="40"/>
      <c r="D58" s="12"/>
      <c r="E58" s="39"/>
    </row>
    <row r="59" spans="1:5" ht="22.5" customHeight="1" x14ac:dyDescent="0.15">
      <c r="A59" s="13" t="s">
        <v>35</v>
      </c>
      <c r="B59" s="11" t="s">
        <v>5</v>
      </c>
      <c r="C59" s="39">
        <v>200000</v>
      </c>
      <c r="D59" s="12">
        <f>IF((($D$2&gt;=10)*($D$2&lt;=11))=1,2,1)</f>
        <v>1</v>
      </c>
      <c r="E59" s="39">
        <f t="shared" si="1"/>
        <v>200000</v>
      </c>
    </row>
    <row r="60" spans="1:5" ht="22.5" customHeight="1" x14ac:dyDescent="0.15">
      <c r="A60" s="10" t="s">
        <v>70</v>
      </c>
      <c r="B60" s="11" t="s">
        <v>5</v>
      </c>
      <c r="C60" s="39">
        <v>300000</v>
      </c>
      <c r="D60" s="12"/>
      <c r="E60" s="39">
        <f t="shared" si="1"/>
        <v>0</v>
      </c>
    </row>
    <row r="61" spans="1:5" ht="22.5" customHeight="1" x14ac:dyDescent="0.2">
      <c r="A61" s="9" t="s">
        <v>36</v>
      </c>
      <c r="B61" s="7"/>
      <c r="C61" s="40"/>
      <c r="D61" s="12"/>
      <c r="E61" s="39">
        <f t="shared" si="1"/>
        <v>0</v>
      </c>
    </row>
    <row r="62" spans="1:5" ht="22.5" customHeight="1" x14ac:dyDescent="0.15">
      <c r="A62" s="13" t="s">
        <v>37</v>
      </c>
      <c r="B62" s="11" t="s">
        <v>38</v>
      </c>
      <c r="C62" s="39">
        <v>200000</v>
      </c>
      <c r="D62" s="12"/>
      <c r="E62" s="39">
        <f t="shared" si="1"/>
        <v>0</v>
      </c>
    </row>
    <row r="63" spans="1:5" ht="22.5" customHeight="1" x14ac:dyDescent="0.2">
      <c r="A63" s="15" t="s">
        <v>74</v>
      </c>
      <c r="B63" s="7"/>
      <c r="C63" s="40"/>
      <c r="D63" s="12"/>
      <c r="E63" s="39">
        <f t="shared" si="1"/>
        <v>0</v>
      </c>
    </row>
    <row r="64" spans="1:5" ht="22.5" customHeight="1" x14ac:dyDescent="0.15">
      <c r="A64" s="10" t="s">
        <v>92</v>
      </c>
      <c r="B64" s="11" t="s">
        <v>38</v>
      </c>
      <c r="C64" s="39">
        <v>650000</v>
      </c>
      <c r="D64" s="12">
        <f>IF((($D$2&gt;=1)*($D$2&lt;=3))=1,1,0)</f>
        <v>1</v>
      </c>
      <c r="E64" s="39">
        <f t="shared" si="1"/>
        <v>650000</v>
      </c>
    </row>
    <row r="65" spans="1:5" ht="22.5" customHeight="1" x14ac:dyDescent="0.15">
      <c r="A65" s="10" t="s">
        <v>93</v>
      </c>
      <c r="B65" s="11" t="s">
        <v>38</v>
      </c>
      <c r="C65" s="39">
        <v>1100000</v>
      </c>
      <c r="D65" s="12">
        <f>IF((($D$2&gt;=4)*($D$2&lt;=11))=1,1,0)</f>
        <v>0</v>
      </c>
      <c r="E65" s="39">
        <f t="shared" si="1"/>
        <v>0</v>
      </c>
    </row>
    <row r="66" spans="1:5" ht="22.5" customHeight="1" x14ac:dyDescent="0.2">
      <c r="A66" s="16" t="s">
        <v>39</v>
      </c>
      <c r="B66" s="7"/>
      <c r="C66" s="40"/>
      <c r="D66" s="12"/>
      <c r="E66" s="39">
        <f t="shared" si="1"/>
        <v>0</v>
      </c>
    </row>
    <row r="67" spans="1:5" ht="22.5" customHeight="1" x14ac:dyDescent="0.2">
      <c r="A67" s="9" t="s">
        <v>40</v>
      </c>
      <c r="B67" s="7"/>
      <c r="C67" s="40"/>
      <c r="D67" s="12"/>
      <c r="E67" s="39">
        <f t="shared" si="1"/>
        <v>0</v>
      </c>
    </row>
    <row r="68" spans="1:5" ht="22.5" customHeight="1" x14ac:dyDescent="0.15">
      <c r="A68" s="13" t="s">
        <v>41</v>
      </c>
      <c r="B68" s="11" t="s">
        <v>30</v>
      </c>
      <c r="C68" s="39">
        <v>250000</v>
      </c>
      <c r="D68" s="12">
        <f>IF((($D$2&gt;=1)*($D$2&lt;=3))=1,$C$2,0)</f>
        <v>4</v>
      </c>
      <c r="E68" s="39">
        <f t="shared" si="1"/>
        <v>1000000</v>
      </c>
    </row>
    <row r="69" spans="1:5" ht="22.5" customHeight="1" x14ac:dyDescent="0.15">
      <c r="A69" s="10" t="s">
        <v>71</v>
      </c>
      <c r="B69" s="11" t="s">
        <v>30</v>
      </c>
      <c r="C69" s="39">
        <v>250000</v>
      </c>
      <c r="D69" s="12">
        <f>IF((($D$2&gt;=4)*($D$2&lt;=11))=1,$C$2,0)</f>
        <v>0</v>
      </c>
      <c r="E69" s="39">
        <f t="shared" si="1"/>
        <v>0</v>
      </c>
    </row>
    <row r="70" spans="1:5" ht="22.5" customHeight="1" x14ac:dyDescent="0.15">
      <c r="A70" s="10" t="s">
        <v>72</v>
      </c>
      <c r="B70" s="11" t="s">
        <v>30</v>
      </c>
      <c r="C70" s="39">
        <v>200000</v>
      </c>
      <c r="D70" s="12"/>
      <c r="E70" s="39">
        <f t="shared" si="1"/>
        <v>0</v>
      </c>
    </row>
    <row r="71" spans="1:5" ht="22.5" customHeight="1" x14ac:dyDescent="0.2">
      <c r="A71" s="16" t="s">
        <v>42</v>
      </c>
      <c r="B71" s="7"/>
      <c r="C71" s="40"/>
      <c r="D71" s="12"/>
      <c r="E71" s="39">
        <f t="shared" si="1"/>
        <v>0</v>
      </c>
    </row>
    <row r="72" spans="1:5" ht="22.5" customHeight="1" x14ac:dyDescent="0.2">
      <c r="A72" s="9" t="s">
        <v>43</v>
      </c>
      <c r="B72" s="7"/>
      <c r="C72" s="40"/>
      <c r="D72" s="12"/>
      <c r="E72" s="39">
        <f t="shared" si="1"/>
        <v>0</v>
      </c>
    </row>
    <row r="73" spans="1:5" ht="22.5" customHeight="1" x14ac:dyDescent="0.15">
      <c r="A73" s="13" t="s">
        <v>44</v>
      </c>
      <c r="B73" s="11" t="s">
        <v>83</v>
      </c>
      <c r="C73" s="39">
        <v>50000</v>
      </c>
      <c r="D73" s="12">
        <f>ROUNDUP(D2*C2*$C$2/24,0)</f>
        <v>2</v>
      </c>
      <c r="E73" s="39">
        <f t="shared" si="1"/>
        <v>100000</v>
      </c>
    </row>
    <row r="74" spans="1:5" ht="22.5" customHeight="1" x14ac:dyDescent="0.15">
      <c r="A74" s="13" t="s">
        <v>46</v>
      </c>
      <c r="B74" s="11" t="s">
        <v>45</v>
      </c>
      <c r="C74" s="39">
        <v>100000</v>
      </c>
      <c r="D74" s="12">
        <v>1</v>
      </c>
      <c r="E74" s="39">
        <f t="shared" si="1"/>
        <v>100000</v>
      </c>
    </row>
    <row r="75" spans="1:5" ht="22.5" customHeight="1" x14ac:dyDescent="0.15">
      <c r="A75" s="13" t="s">
        <v>47</v>
      </c>
      <c r="B75" s="11" t="s">
        <v>17</v>
      </c>
      <c r="C75" s="39">
        <v>60000</v>
      </c>
      <c r="D75" s="12">
        <f>D2</f>
        <v>2</v>
      </c>
      <c r="E75" s="39">
        <f t="shared" ref="E75:E79" si="2">C75*D75</f>
        <v>120000</v>
      </c>
    </row>
    <row r="76" spans="1:5" ht="22.5" customHeight="1" x14ac:dyDescent="0.2">
      <c r="A76" s="9" t="s">
        <v>48</v>
      </c>
      <c r="B76" s="7"/>
      <c r="C76" s="14"/>
      <c r="D76" s="12"/>
      <c r="E76" s="39">
        <f t="shared" si="2"/>
        <v>0</v>
      </c>
    </row>
    <row r="77" spans="1:5" ht="22.5" customHeight="1" x14ac:dyDescent="0.15">
      <c r="A77" s="13" t="s">
        <v>49</v>
      </c>
      <c r="B77" s="11" t="s">
        <v>38</v>
      </c>
      <c r="C77" s="12">
        <v>2000000</v>
      </c>
      <c r="D77" s="12"/>
      <c r="E77" s="39">
        <f t="shared" si="2"/>
        <v>0</v>
      </c>
    </row>
    <row r="78" spans="1:5" ht="22.5" customHeight="1" x14ac:dyDescent="0.2">
      <c r="A78" s="9" t="s">
        <v>50</v>
      </c>
      <c r="B78" s="7"/>
      <c r="C78" s="14"/>
      <c r="D78" s="12"/>
      <c r="E78" s="39">
        <f t="shared" si="2"/>
        <v>0</v>
      </c>
    </row>
    <row r="79" spans="1:5" ht="22.5" customHeight="1" x14ac:dyDescent="0.15">
      <c r="A79" s="13" t="s">
        <v>51</v>
      </c>
      <c r="B79" s="11" t="s">
        <v>17</v>
      </c>
      <c r="C79" s="12">
        <v>16000</v>
      </c>
      <c r="D79" s="12">
        <f>D2</f>
        <v>2</v>
      </c>
      <c r="E79" s="39">
        <f t="shared" si="2"/>
        <v>32000</v>
      </c>
    </row>
    <row r="80" spans="1:5" ht="22.5" customHeight="1" x14ac:dyDescent="0.15">
      <c r="A80" s="10" t="s">
        <v>61</v>
      </c>
      <c r="B80" s="11" t="s">
        <v>5</v>
      </c>
      <c r="C80" s="12">
        <v>100000</v>
      </c>
      <c r="D80" s="12">
        <v>1</v>
      </c>
      <c r="E80" s="39">
        <f>C80*D80</f>
        <v>100000</v>
      </c>
    </row>
    <row r="81" spans="1:5" s="1" customFormat="1" ht="30" customHeight="1" x14ac:dyDescent="0.15">
      <c r="A81" s="18" t="s">
        <v>84</v>
      </c>
      <c r="B81" s="17"/>
      <c r="C81" s="5"/>
      <c r="D81" s="12"/>
      <c r="E81" s="42">
        <f>SUM(E7:E80)</f>
        <v>7682000</v>
      </c>
    </row>
    <row r="82" spans="1:5" ht="36" customHeight="1" x14ac:dyDescent="0.15">
      <c r="A82" s="18" t="s">
        <v>88</v>
      </c>
      <c r="B82" s="8"/>
      <c r="C82" s="8"/>
      <c r="D82" s="8"/>
      <c r="E82" s="42">
        <f>E81/D2</f>
        <v>3841000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7891C-51F4-45A8-8CB7-F85C2A5F3D00}">
  <sheetPr>
    <pageSetUpPr fitToPage="1"/>
  </sheetPr>
  <dimension ref="A1:N82"/>
  <sheetViews>
    <sheetView topLeftCell="A54" zoomScale="70" zoomScaleNormal="70" workbookViewId="0">
      <selection activeCell="D54" sqref="D54"/>
    </sheetView>
  </sheetViews>
  <sheetFormatPr baseColWidth="10" defaultColWidth="9" defaultRowHeight="13" x14ac:dyDescent="0.15"/>
  <cols>
    <col min="1" max="1" width="103.19921875" bestFit="1" customWidth="1"/>
    <col min="2" max="2" width="23.19921875" customWidth="1"/>
    <col min="3" max="3" width="29.19921875" customWidth="1"/>
    <col min="4" max="4" width="24.19921875" customWidth="1"/>
    <col min="5" max="5" width="25.3984375" customWidth="1"/>
    <col min="8" max="8" width="7" bestFit="1" customWidth="1"/>
    <col min="9" max="10" width="20.796875" bestFit="1" customWidth="1"/>
    <col min="11" max="11" width="18.59765625" bestFit="1" customWidth="1"/>
    <col min="12" max="12" width="20.3984375" bestFit="1" customWidth="1"/>
    <col min="13" max="13" width="18.59765625" bestFit="1" customWidth="1"/>
    <col min="14" max="14" width="27.3984375" bestFit="1" customWidth="1"/>
  </cols>
  <sheetData>
    <row r="1" spans="1:5" ht="25.5" customHeight="1" x14ac:dyDescent="0.15">
      <c r="A1" s="2" t="s">
        <v>77</v>
      </c>
      <c r="B1" s="2" t="s">
        <v>78</v>
      </c>
      <c r="C1" s="2" t="s">
        <v>79</v>
      </c>
      <c r="D1" s="2" t="s">
        <v>80</v>
      </c>
    </row>
    <row r="2" spans="1:5" ht="27.75" customHeight="1" x14ac:dyDescent="0.15">
      <c r="A2" s="3" t="s">
        <v>94</v>
      </c>
      <c r="B2" s="3">
        <v>54</v>
      </c>
      <c r="C2" s="3">
        <v>4</v>
      </c>
      <c r="D2" s="43">
        <v>3</v>
      </c>
    </row>
    <row r="3" spans="1:5" ht="27.75" customHeight="1" x14ac:dyDescent="0.15">
      <c r="A3" s="4"/>
      <c r="B3" s="4"/>
      <c r="C3" s="4"/>
    </row>
    <row r="4" spans="1:5" ht="35.25" customHeight="1" x14ac:dyDescent="0.15">
      <c r="A4" s="5" t="s">
        <v>0</v>
      </c>
      <c r="B4" s="5" t="s">
        <v>1</v>
      </c>
      <c r="C4" s="5" t="s">
        <v>2</v>
      </c>
      <c r="D4" s="5" t="s">
        <v>81</v>
      </c>
      <c r="E4" s="5" t="s">
        <v>82</v>
      </c>
    </row>
    <row r="5" spans="1:5" ht="22.5" customHeight="1" x14ac:dyDescent="0.2">
      <c r="A5" s="6" t="s">
        <v>3</v>
      </c>
      <c r="B5" s="7"/>
      <c r="C5" s="7"/>
      <c r="D5" s="8"/>
      <c r="E5" s="8"/>
    </row>
    <row r="6" spans="1:5" ht="22.5" customHeight="1" x14ac:dyDescent="0.2">
      <c r="A6" s="9" t="s">
        <v>4</v>
      </c>
      <c r="B6" s="7"/>
      <c r="C6" s="7"/>
      <c r="D6" s="8"/>
      <c r="E6" s="8"/>
    </row>
    <row r="7" spans="1:5" ht="22.5" customHeight="1" x14ac:dyDescent="0.15">
      <c r="A7" s="10" t="s">
        <v>97</v>
      </c>
      <c r="B7" s="11" t="s">
        <v>5</v>
      </c>
      <c r="C7" s="39">
        <v>500000</v>
      </c>
      <c r="D7" s="12">
        <v>1</v>
      </c>
      <c r="E7" s="39">
        <f t="shared" ref="E7:E9" si="0">C7*D7</f>
        <v>500000</v>
      </c>
    </row>
    <row r="8" spans="1:5" ht="22.5" customHeight="1" x14ac:dyDescent="0.15">
      <c r="A8" s="10" t="s">
        <v>98</v>
      </c>
      <c r="B8" s="11" t="s">
        <v>5</v>
      </c>
      <c r="C8" s="39">
        <v>250000</v>
      </c>
      <c r="D8" s="12">
        <v>1</v>
      </c>
      <c r="E8" s="39">
        <f t="shared" si="0"/>
        <v>250000</v>
      </c>
    </row>
    <row r="9" spans="1:5" ht="22.5" customHeight="1" x14ac:dyDescent="0.15">
      <c r="A9" s="10" t="s">
        <v>73</v>
      </c>
      <c r="B9" s="11" t="s">
        <v>5</v>
      </c>
      <c r="C9" s="39">
        <v>560000</v>
      </c>
      <c r="D9" s="12"/>
      <c r="E9" s="39">
        <f t="shared" si="0"/>
        <v>0</v>
      </c>
    </row>
    <row r="10" spans="1:5" ht="22.5" hidden="1" customHeight="1" x14ac:dyDescent="0.15">
      <c r="A10" s="13" t="s">
        <v>6</v>
      </c>
      <c r="B10" s="11" t="s">
        <v>5</v>
      </c>
      <c r="C10" s="39">
        <v>435000</v>
      </c>
      <c r="D10" s="12"/>
      <c r="E10" s="39">
        <f>C10*D10</f>
        <v>0</v>
      </c>
    </row>
    <row r="11" spans="1:5" ht="22.5" hidden="1" customHeight="1" x14ac:dyDescent="0.15">
      <c r="A11" s="13" t="s">
        <v>7</v>
      </c>
      <c r="B11" s="11" t="s">
        <v>5</v>
      </c>
      <c r="C11" s="39">
        <v>300000</v>
      </c>
      <c r="D11" s="12"/>
      <c r="E11" s="39">
        <f t="shared" ref="E11:E74" si="1">C11*D11</f>
        <v>0</v>
      </c>
    </row>
    <row r="12" spans="1:5" ht="22.5" hidden="1" customHeight="1" x14ac:dyDescent="0.15">
      <c r="A12" s="10" t="s">
        <v>52</v>
      </c>
      <c r="B12" s="11" t="s">
        <v>5</v>
      </c>
      <c r="C12" s="39">
        <v>250000</v>
      </c>
      <c r="D12" s="12"/>
      <c r="E12" s="39">
        <f t="shared" si="1"/>
        <v>0</v>
      </c>
    </row>
    <row r="13" spans="1:5" ht="22.5" hidden="1" customHeight="1" x14ac:dyDescent="0.15">
      <c r="A13" s="10" t="s">
        <v>53</v>
      </c>
      <c r="B13" s="11" t="s">
        <v>5</v>
      </c>
      <c r="C13" s="39">
        <v>275000</v>
      </c>
      <c r="D13" s="12"/>
      <c r="E13" s="39">
        <f t="shared" si="1"/>
        <v>0</v>
      </c>
    </row>
    <row r="14" spans="1:5" ht="22.5" hidden="1" customHeight="1" x14ac:dyDescent="0.15">
      <c r="A14" s="10" t="s">
        <v>54</v>
      </c>
      <c r="B14" s="11" t="s">
        <v>5</v>
      </c>
      <c r="C14" s="39">
        <v>450000</v>
      </c>
      <c r="D14" s="12"/>
      <c r="E14" s="39">
        <f t="shared" si="1"/>
        <v>0</v>
      </c>
    </row>
    <row r="15" spans="1:5" ht="22.5" hidden="1" customHeight="1" x14ac:dyDescent="0.15">
      <c r="A15" s="10" t="s">
        <v>55</v>
      </c>
      <c r="B15" s="11" t="s">
        <v>5</v>
      </c>
      <c r="C15" s="39">
        <v>450000</v>
      </c>
      <c r="D15" s="12"/>
      <c r="E15" s="39">
        <f t="shared" si="1"/>
        <v>0</v>
      </c>
    </row>
    <row r="16" spans="1:5" ht="22.5" hidden="1" customHeight="1" x14ac:dyDescent="0.15">
      <c r="A16" s="10" t="s">
        <v>65</v>
      </c>
      <c r="B16" s="11" t="s">
        <v>5</v>
      </c>
      <c r="C16" s="39">
        <v>337500</v>
      </c>
      <c r="D16" s="12"/>
      <c r="E16" s="39">
        <f t="shared" si="1"/>
        <v>0</v>
      </c>
    </row>
    <row r="17" spans="1:14" ht="22.5" hidden="1" customHeight="1" x14ac:dyDescent="0.2">
      <c r="A17" s="10" t="s">
        <v>67</v>
      </c>
      <c r="B17" s="11" t="s">
        <v>5</v>
      </c>
      <c r="C17" s="39">
        <v>375000</v>
      </c>
      <c r="D17" s="12"/>
      <c r="E17" s="39">
        <f t="shared" si="1"/>
        <v>0</v>
      </c>
      <c r="H17" s="36"/>
      <c r="I17" s="37"/>
      <c r="J17" s="37"/>
      <c r="K17" s="38"/>
      <c r="L17" s="38"/>
      <c r="M17" s="38"/>
      <c r="N17" s="38"/>
    </row>
    <row r="18" spans="1:14" ht="22.5" hidden="1" customHeight="1" x14ac:dyDescent="0.2">
      <c r="A18" s="10" t="s">
        <v>66</v>
      </c>
      <c r="B18" s="11" t="s">
        <v>5</v>
      </c>
      <c r="C18" s="39">
        <v>412500</v>
      </c>
      <c r="D18" s="12"/>
      <c r="E18" s="39">
        <f t="shared" si="1"/>
        <v>0</v>
      </c>
      <c r="H18" s="36"/>
      <c r="I18" s="37"/>
      <c r="J18" s="37"/>
      <c r="K18" s="38"/>
      <c r="L18" s="38"/>
      <c r="M18" s="38"/>
      <c r="N18" s="38"/>
    </row>
    <row r="19" spans="1:14" ht="22.5" hidden="1" customHeight="1" x14ac:dyDescent="0.2">
      <c r="A19" s="10" t="s">
        <v>68</v>
      </c>
      <c r="B19" s="11" t="s">
        <v>5</v>
      </c>
      <c r="C19" s="39">
        <v>487500</v>
      </c>
      <c r="D19" s="12"/>
      <c r="E19" s="39">
        <f t="shared" si="1"/>
        <v>0</v>
      </c>
      <c r="H19" s="36"/>
      <c r="I19" s="37"/>
      <c r="J19" s="37"/>
      <c r="K19" s="38"/>
      <c r="L19" s="38"/>
      <c r="M19" s="38"/>
      <c r="N19" s="38"/>
    </row>
    <row r="20" spans="1:14" ht="22.5" hidden="1" customHeight="1" x14ac:dyDescent="0.2">
      <c r="A20" s="10" t="s">
        <v>69</v>
      </c>
      <c r="B20" s="11" t="s">
        <v>5</v>
      </c>
      <c r="C20" s="39">
        <v>562500</v>
      </c>
      <c r="D20" s="12"/>
      <c r="E20" s="39">
        <f t="shared" si="1"/>
        <v>0</v>
      </c>
      <c r="H20" s="36"/>
      <c r="I20" s="37"/>
      <c r="J20" s="37"/>
      <c r="K20" s="38"/>
      <c r="L20" s="38"/>
      <c r="M20" s="38"/>
      <c r="N20" s="38"/>
    </row>
    <row r="21" spans="1:14" ht="22.5" customHeight="1" x14ac:dyDescent="0.2">
      <c r="A21" s="9" t="s">
        <v>8</v>
      </c>
      <c r="B21" s="7"/>
      <c r="C21" s="40"/>
      <c r="D21" s="12"/>
      <c r="E21" s="39"/>
    </row>
    <row r="22" spans="1:14" ht="22.5" customHeight="1" x14ac:dyDescent="0.15">
      <c r="A22" s="10" t="s">
        <v>62</v>
      </c>
      <c r="B22" s="11" t="s">
        <v>5</v>
      </c>
      <c r="C22" s="39">
        <v>750000</v>
      </c>
      <c r="D22" s="12"/>
      <c r="E22" s="39">
        <f t="shared" si="1"/>
        <v>0</v>
      </c>
    </row>
    <row r="23" spans="1:14" ht="22.5" customHeight="1" x14ac:dyDescent="0.15">
      <c r="A23" s="10" t="s">
        <v>63</v>
      </c>
      <c r="B23" s="11" t="s">
        <v>5</v>
      </c>
      <c r="C23" s="39">
        <v>950000</v>
      </c>
      <c r="D23" s="12">
        <v>1</v>
      </c>
      <c r="E23" s="39">
        <f t="shared" si="1"/>
        <v>950000</v>
      </c>
    </row>
    <row r="24" spans="1:14" ht="22.5" customHeight="1" x14ac:dyDescent="0.15">
      <c r="A24" s="10" t="s">
        <v>64</v>
      </c>
      <c r="B24" s="11" t="s">
        <v>5</v>
      </c>
      <c r="C24" s="39">
        <v>300000</v>
      </c>
      <c r="D24" s="12"/>
      <c r="E24" s="39">
        <f t="shared" si="1"/>
        <v>0</v>
      </c>
    </row>
    <row r="25" spans="1:14" ht="22.5" customHeight="1" x14ac:dyDescent="0.2">
      <c r="A25" s="9" t="s">
        <v>9</v>
      </c>
      <c r="B25" s="7"/>
      <c r="C25" s="40"/>
      <c r="D25" s="12"/>
      <c r="E25" s="39">
        <f t="shared" si="1"/>
        <v>0</v>
      </c>
    </row>
    <row r="26" spans="1:14" ht="22.5" customHeight="1" x14ac:dyDescent="0.15">
      <c r="A26" s="10" t="s">
        <v>56</v>
      </c>
      <c r="B26" s="11" t="s">
        <v>5</v>
      </c>
      <c r="C26" s="39">
        <v>425000</v>
      </c>
      <c r="D26" s="12"/>
      <c r="E26" s="39">
        <f t="shared" si="1"/>
        <v>0</v>
      </c>
    </row>
    <row r="27" spans="1:14" ht="22.5" customHeight="1" x14ac:dyDescent="0.15">
      <c r="A27" s="10" t="s">
        <v>10</v>
      </c>
      <c r="B27" s="11" t="s">
        <v>5</v>
      </c>
      <c r="C27" s="39">
        <v>260000</v>
      </c>
      <c r="D27" s="12"/>
      <c r="E27" s="39">
        <f t="shared" si="1"/>
        <v>0</v>
      </c>
    </row>
    <row r="28" spans="1:14" ht="22.5" customHeight="1" x14ac:dyDescent="0.15">
      <c r="A28" s="10" t="s">
        <v>11</v>
      </c>
      <c r="B28" s="11" t="s">
        <v>5</v>
      </c>
      <c r="C28" s="39">
        <v>300000</v>
      </c>
      <c r="D28" s="12"/>
      <c r="E28" s="39">
        <f t="shared" si="1"/>
        <v>0</v>
      </c>
    </row>
    <row r="29" spans="1:14" ht="22.5" customHeight="1" x14ac:dyDescent="0.15">
      <c r="A29" s="13" t="s">
        <v>12</v>
      </c>
      <c r="B29" s="11" t="s">
        <v>5</v>
      </c>
      <c r="C29" s="39">
        <v>316000</v>
      </c>
      <c r="D29" s="12"/>
      <c r="E29" s="39">
        <f t="shared" si="1"/>
        <v>0</v>
      </c>
    </row>
    <row r="30" spans="1:14" ht="22.5" customHeight="1" x14ac:dyDescent="0.15">
      <c r="A30" s="13" t="s">
        <v>13</v>
      </c>
      <c r="B30" s="11" t="s">
        <v>5</v>
      </c>
      <c r="C30" s="39">
        <v>380000</v>
      </c>
      <c r="D30" s="12"/>
      <c r="E30" s="39">
        <f t="shared" si="1"/>
        <v>0</v>
      </c>
    </row>
    <row r="31" spans="1:14" ht="22.5" customHeight="1" x14ac:dyDescent="0.15">
      <c r="A31" s="13" t="s">
        <v>14</v>
      </c>
      <c r="B31" s="11" t="s">
        <v>5</v>
      </c>
      <c r="C31" s="39">
        <v>440000</v>
      </c>
      <c r="D31" s="12">
        <v>1</v>
      </c>
      <c r="E31" s="39">
        <f t="shared" si="1"/>
        <v>440000</v>
      </c>
    </row>
    <row r="32" spans="1:14" ht="22.5" customHeight="1" x14ac:dyDescent="0.2">
      <c r="A32" s="6" t="s">
        <v>15</v>
      </c>
      <c r="B32" s="7"/>
      <c r="C32" s="40"/>
      <c r="D32" s="12"/>
      <c r="E32" s="39">
        <f t="shared" si="1"/>
        <v>0</v>
      </c>
    </row>
    <row r="33" spans="1:5" ht="22.5" customHeight="1" x14ac:dyDescent="0.2">
      <c r="A33" s="9" t="s">
        <v>16</v>
      </c>
      <c r="B33" s="7"/>
      <c r="C33" s="40"/>
      <c r="D33" s="12"/>
      <c r="E33" s="39">
        <f t="shared" si="1"/>
        <v>0</v>
      </c>
    </row>
    <row r="34" spans="1:5" ht="22.5" customHeight="1" x14ac:dyDescent="0.15">
      <c r="A34" s="10" t="s">
        <v>60</v>
      </c>
      <c r="B34" s="11" t="s">
        <v>17</v>
      </c>
      <c r="C34" s="39">
        <v>75000</v>
      </c>
      <c r="D34" s="12">
        <f>$D$2</f>
        <v>3</v>
      </c>
      <c r="E34" s="39">
        <f t="shared" si="1"/>
        <v>225000</v>
      </c>
    </row>
    <row r="35" spans="1:5" ht="22.5" customHeight="1" x14ac:dyDescent="0.15">
      <c r="A35" s="13" t="s">
        <v>18</v>
      </c>
      <c r="B35" s="11" t="s">
        <v>17</v>
      </c>
      <c r="C35" s="39">
        <v>55000</v>
      </c>
      <c r="D35" s="12"/>
      <c r="E35" s="39">
        <f t="shared" si="1"/>
        <v>0</v>
      </c>
    </row>
    <row r="36" spans="1:5" ht="22.5" customHeight="1" x14ac:dyDescent="0.15">
      <c r="A36" s="10" t="s">
        <v>19</v>
      </c>
      <c r="B36" s="11" t="s">
        <v>17</v>
      </c>
      <c r="C36" s="39">
        <v>25000</v>
      </c>
      <c r="D36" s="12">
        <f>$D$2</f>
        <v>3</v>
      </c>
      <c r="E36" s="39">
        <f t="shared" si="1"/>
        <v>75000</v>
      </c>
    </row>
    <row r="37" spans="1:5" ht="22.5" customHeight="1" x14ac:dyDescent="0.15">
      <c r="A37" s="10" t="s">
        <v>76</v>
      </c>
      <c r="B37" s="11" t="s">
        <v>5</v>
      </c>
      <c r="C37" s="39">
        <v>250000</v>
      </c>
      <c r="D37" s="12">
        <v>1</v>
      </c>
      <c r="E37" s="39">
        <f t="shared" si="1"/>
        <v>250000</v>
      </c>
    </row>
    <row r="38" spans="1:5" ht="22.5" customHeight="1" x14ac:dyDescent="0.15">
      <c r="A38" s="13" t="s">
        <v>95</v>
      </c>
      <c r="B38" s="11" t="s">
        <v>17</v>
      </c>
      <c r="C38" s="39">
        <v>65000</v>
      </c>
      <c r="D38" s="12"/>
      <c r="E38" s="39">
        <f t="shared" si="1"/>
        <v>0</v>
      </c>
    </row>
    <row r="39" spans="1:5" ht="22.5" customHeight="1" x14ac:dyDescent="0.15">
      <c r="A39" s="13" t="s">
        <v>96</v>
      </c>
      <c r="B39" s="11" t="s">
        <v>17</v>
      </c>
      <c r="C39" s="39">
        <v>65000</v>
      </c>
      <c r="D39" s="12"/>
      <c r="E39" s="39">
        <f t="shared" si="1"/>
        <v>0</v>
      </c>
    </row>
    <row r="40" spans="1:5" ht="22.5" customHeight="1" x14ac:dyDescent="0.15">
      <c r="A40" s="10" t="s">
        <v>57</v>
      </c>
      <c r="B40" s="11" t="s">
        <v>17</v>
      </c>
      <c r="C40" s="39">
        <v>60000</v>
      </c>
      <c r="D40" s="12">
        <f>D2</f>
        <v>3</v>
      </c>
      <c r="E40" s="39">
        <f t="shared" si="1"/>
        <v>180000</v>
      </c>
    </row>
    <row r="41" spans="1:5" ht="22.5" customHeight="1" x14ac:dyDescent="0.15">
      <c r="A41" s="10" t="s">
        <v>58</v>
      </c>
      <c r="B41" s="11" t="s">
        <v>17</v>
      </c>
      <c r="C41" s="39">
        <v>60000</v>
      </c>
      <c r="D41" s="12"/>
      <c r="E41" s="39">
        <f t="shared" si="1"/>
        <v>0</v>
      </c>
    </row>
    <row r="42" spans="1:5" ht="22.5" customHeight="1" x14ac:dyDescent="0.15">
      <c r="A42" s="13" t="s">
        <v>20</v>
      </c>
      <c r="B42" s="11" t="s">
        <v>5</v>
      </c>
      <c r="C42" s="39">
        <v>35000</v>
      </c>
      <c r="D42" s="12"/>
      <c r="E42" s="39">
        <f t="shared" si="1"/>
        <v>0</v>
      </c>
    </row>
    <row r="43" spans="1:5" ht="22.5" customHeight="1" x14ac:dyDescent="0.2">
      <c r="A43" s="9" t="s">
        <v>21</v>
      </c>
      <c r="B43" s="7"/>
      <c r="C43" s="41"/>
      <c r="D43" s="12"/>
      <c r="E43" s="39"/>
    </row>
    <row r="44" spans="1:5" ht="22.5" customHeight="1" x14ac:dyDescent="0.15">
      <c r="A44" s="10" t="s">
        <v>59</v>
      </c>
      <c r="B44" s="11" t="s">
        <v>17</v>
      </c>
      <c r="C44" s="39">
        <v>160000</v>
      </c>
      <c r="D44" s="12">
        <f>D2</f>
        <v>3</v>
      </c>
      <c r="E44" s="39">
        <f t="shared" si="1"/>
        <v>480000</v>
      </c>
    </row>
    <row r="45" spans="1:5" ht="22.5" customHeight="1" x14ac:dyDescent="0.15">
      <c r="A45" s="13" t="s">
        <v>22</v>
      </c>
      <c r="B45" s="11" t="s">
        <v>17</v>
      </c>
      <c r="C45" s="39">
        <v>500000</v>
      </c>
      <c r="D45" s="12">
        <f>ROUNDUP(D2/4,0)</f>
        <v>1</v>
      </c>
      <c r="E45" s="39">
        <f t="shared" si="1"/>
        <v>500000</v>
      </c>
    </row>
    <row r="46" spans="1:5" ht="22.5" customHeight="1" x14ac:dyDescent="0.2">
      <c r="A46" s="9" t="s">
        <v>23</v>
      </c>
      <c r="B46" s="7"/>
      <c r="C46" s="41"/>
      <c r="D46" s="12"/>
      <c r="E46" s="39">
        <f t="shared" si="1"/>
        <v>0</v>
      </c>
    </row>
    <row r="47" spans="1:5" ht="22.5" customHeight="1" x14ac:dyDescent="0.15">
      <c r="A47" s="13" t="s">
        <v>24</v>
      </c>
      <c r="B47" s="11" t="s">
        <v>17</v>
      </c>
      <c r="C47" s="39">
        <v>150000</v>
      </c>
      <c r="D47" s="12">
        <f>D2</f>
        <v>3</v>
      </c>
      <c r="E47" s="39">
        <f t="shared" si="1"/>
        <v>450000</v>
      </c>
    </row>
    <row r="48" spans="1:5" ht="22.5" customHeight="1" x14ac:dyDescent="0.15">
      <c r="A48" s="10" t="s">
        <v>75</v>
      </c>
      <c r="B48" s="11" t="s">
        <v>5</v>
      </c>
      <c r="C48" s="39">
        <v>200000</v>
      </c>
      <c r="D48" s="12">
        <v>1</v>
      </c>
      <c r="E48" s="39">
        <f t="shared" si="1"/>
        <v>200000</v>
      </c>
    </row>
    <row r="49" spans="1:5" ht="22.5" customHeight="1" x14ac:dyDescent="0.15">
      <c r="A49" s="13" t="s">
        <v>25</v>
      </c>
      <c r="B49" s="11" t="s">
        <v>17</v>
      </c>
      <c r="C49" s="39">
        <v>50000</v>
      </c>
      <c r="D49" s="12">
        <f>D2</f>
        <v>3</v>
      </c>
      <c r="E49" s="39">
        <f t="shared" si="1"/>
        <v>150000</v>
      </c>
    </row>
    <row r="50" spans="1:5" ht="22.5" customHeight="1" x14ac:dyDescent="0.15">
      <c r="A50" s="13" t="s">
        <v>26</v>
      </c>
      <c r="B50" s="11" t="s">
        <v>17</v>
      </c>
      <c r="C50" s="39">
        <v>40000</v>
      </c>
      <c r="D50" s="12">
        <f>$D$2</f>
        <v>3</v>
      </c>
      <c r="E50" s="39">
        <f t="shared" si="1"/>
        <v>120000</v>
      </c>
    </row>
    <row r="51" spans="1:5" ht="22.5" customHeight="1" x14ac:dyDescent="0.2">
      <c r="A51" s="16" t="s">
        <v>27</v>
      </c>
      <c r="B51" s="7"/>
      <c r="C51" s="40"/>
      <c r="D51" s="12"/>
      <c r="E51" s="39"/>
    </row>
    <row r="52" spans="1:5" ht="22.5" customHeight="1" x14ac:dyDescent="0.2">
      <c r="A52" s="9" t="s">
        <v>28</v>
      </c>
      <c r="B52" s="7"/>
      <c r="C52" s="40"/>
      <c r="D52" s="12"/>
      <c r="E52" s="39"/>
    </row>
    <row r="53" spans="1:5" ht="22.5" customHeight="1" x14ac:dyDescent="0.15">
      <c r="A53" s="13" t="s">
        <v>29</v>
      </c>
      <c r="B53" s="11" t="s">
        <v>30</v>
      </c>
      <c r="C53" s="39">
        <v>450000</v>
      </c>
      <c r="D53" s="12">
        <v>4</v>
      </c>
      <c r="E53" s="39">
        <f t="shared" si="1"/>
        <v>1800000</v>
      </c>
    </row>
    <row r="54" spans="1:5" ht="22.5" customHeight="1" x14ac:dyDescent="0.15">
      <c r="A54" s="13" t="s">
        <v>31</v>
      </c>
      <c r="B54" s="11" t="s">
        <v>30</v>
      </c>
      <c r="C54" s="39">
        <v>550000</v>
      </c>
      <c r="D54" s="12"/>
      <c r="E54" s="39">
        <f t="shared" si="1"/>
        <v>0</v>
      </c>
    </row>
    <row r="55" spans="1:5" ht="22.5" customHeight="1" x14ac:dyDescent="0.15">
      <c r="A55" s="10" t="s">
        <v>32</v>
      </c>
      <c r="B55" s="11" t="s">
        <v>30</v>
      </c>
      <c r="C55" s="39">
        <v>1100000</v>
      </c>
      <c r="D55" s="12">
        <f>IF((($D$2&gt;=4)*($D$2&lt;=11))=1,$C$2,0)</f>
        <v>0</v>
      </c>
      <c r="E55" s="39">
        <f t="shared" si="1"/>
        <v>0</v>
      </c>
    </row>
    <row r="56" spans="1:5" ht="22.5" customHeight="1" x14ac:dyDescent="0.15">
      <c r="A56" s="13" t="s">
        <v>33</v>
      </c>
      <c r="B56" s="11" t="s">
        <v>30</v>
      </c>
      <c r="C56" s="39">
        <v>1300000</v>
      </c>
      <c r="D56" s="12"/>
      <c r="E56" s="39">
        <f t="shared" si="1"/>
        <v>0</v>
      </c>
    </row>
    <row r="57" spans="1:5" ht="22.5" customHeight="1" x14ac:dyDescent="0.15">
      <c r="A57" s="10" t="s">
        <v>91</v>
      </c>
      <c r="B57" s="11" t="s">
        <v>30</v>
      </c>
      <c r="C57" s="39">
        <v>650000</v>
      </c>
      <c r="D57" s="12">
        <f>IF((($D$2&gt;=10)*($D$2&lt;=11))=1,1,0)</f>
        <v>0</v>
      </c>
      <c r="E57" s="39">
        <f t="shared" si="1"/>
        <v>0</v>
      </c>
    </row>
    <row r="58" spans="1:5" ht="22.5" customHeight="1" x14ac:dyDescent="0.2">
      <c r="A58" s="9" t="s">
        <v>34</v>
      </c>
      <c r="B58" s="7"/>
      <c r="C58" s="40"/>
      <c r="D58" s="12"/>
      <c r="E58" s="39"/>
    </row>
    <row r="59" spans="1:5" ht="22.5" customHeight="1" x14ac:dyDescent="0.15">
      <c r="A59" s="13" t="s">
        <v>35</v>
      </c>
      <c r="B59" s="11" t="s">
        <v>5</v>
      </c>
      <c r="C59" s="39">
        <v>200000</v>
      </c>
      <c r="D59" s="12">
        <f>IF((($D$2&gt;=10)*($D$2&lt;=11))=1,2,1)</f>
        <v>1</v>
      </c>
      <c r="E59" s="39">
        <f t="shared" si="1"/>
        <v>200000</v>
      </c>
    </row>
    <row r="60" spans="1:5" ht="22.5" customHeight="1" x14ac:dyDescent="0.15">
      <c r="A60" s="10" t="s">
        <v>70</v>
      </c>
      <c r="B60" s="11" t="s">
        <v>5</v>
      </c>
      <c r="C60" s="39">
        <v>300000</v>
      </c>
      <c r="D60" s="12"/>
      <c r="E60" s="39">
        <f t="shared" si="1"/>
        <v>0</v>
      </c>
    </row>
    <row r="61" spans="1:5" ht="22.5" customHeight="1" x14ac:dyDescent="0.2">
      <c r="A61" s="9" t="s">
        <v>36</v>
      </c>
      <c r="B61" s="7"/>
      <c r="C61" s="40"/>
      <c r="D61" s="12"/>
      <c r="E61" s="39">
        <f t="shared" si="1"/>
        <v>0</v>
      </c>
    </row>
    <row r="62" spans="1:5" ht="22.5" customHeight="1" x14ac:dyDescent="0.15">
      <c r="A62" s="13" t="s">
        <v>37</v>
      </c>
      <c r="B62" s="11" t="s">
        <v>38</v>
      </c>
      <c r="C62" s="39">
        <v>200000</v>
      </c>
      <c r="D62" s="12"/>
      <c r="E62" s="39">
        <f t="shared" si="1"/>
        <v>0</v>
      </c>
    </row>
    <row r="63" spans="1:5" ht="22.5" customHeight="1" x14ac:dyDescent="0.2">
      <c r="A63" s="15" t="s">
        <v>74</v>
      </c>
      <c r="B63" s="7"/>
      <c r="C63" s="40"/>
      <c r="D63" s="12"/>
      <c r="E63" s="39">
        <f t="shared" si="1"/>
        <v>0</v>
      </c>
    </row>
    <row r="64" spans="1:5" ht="22.5" customHeight="1" x14ac:dyDescent="0.15">
      <c r="A64" s="10" t="s">
        <v>92</v>
      </c>
      <c r="B64" s="11" t="s">
        <v>38</v>
      </c>
      <c r="C64" s="39">
        <v>700000</v>
      </c>
      <c r="D64" s="12">
        <f>IF((($D$2&gt;=1)*($D$2&lt;=3))=1,1,0)</f>
        <v>1</v>
      </c>
      <c r="E64" s="39">
        <f t="shared" si="1"/>
        <v>700000</v>
      </c>
    </row>
    <row r="65" spans="1:5" ht="22.5" customHeight="1" x14ac:dyDescent="0.15">
      <c r="A65" s="10" t="s">
        <v>93</v>
      </c>
      <c r="B65" s="11" t="s">
        <v>38</v>
      </c>
      <c r="C65" s="39">
        <v>1100000</v>
      </c>
      <c r="D65" s="12">
        <f>IF((($D$2&gt;=4)*($D$2&lt;=11))=1,1,0)</f>
        <v>0</v>
      </c>
      <c r="E65" s="39">
        <f t="shared" si="1"/>
        <v>0</v>
      </c>
    </row>
    <row r="66" spans="1:5" ht="22.5" customHeight="1" x14ac:dyDescent="0.2">
      <c r="A66" s="16" t="s">
        <v>39</v>
      </c>
      <c r="B66" s="7"/>
      <c r="C66" s="40"/>
      <c r="D66" s="12"/>
      <c r="E66" s="39">
        <f t="shared" si="1"/>
        <v>0</v>
      </c>
    </row>
    <row r="67" spans="1:5" ht="22.5" customHeight="1" x14ac:dyDescent="0.2">
      <c r="A67" s="9" t="s">
        <v>40</v>
      </c>
      <c r="B67" s="7"/>
      <c r="C67" s="40"/>
      <c r="D67" s="12"/>
      <c r="E67" s="39">
        <f t="shared" si="1"/>
        <v>0</v>
      </c>
    </row>
    <row r="68" spans="1:5" ht="22.5" customHeight="1" x14ac:dyDescent="0.15">
      <c r="A68" s="13" t="s">
        <v>41</v>
      </c>
      <c r="B68" s="11" t="s">
        <v>30</v>
      </c>
      <c r="C68" s="39">
        <v>250000</v>
      </c>
      <c r="D68" s="12">
        <f>IF((($D$2&gt;=1)*($D$2&lt;=3))=1,$C$2,0)</f>
        <v>4</v>
      </c>
      <c r="E68" s="39">
        <f t="shared" si="1"/>
        <v>1000000</v>
      </c>
    </row>
    <row r="69" spans="1:5" ht="22.5" customHeight="1" x14ac:dyDescent="0.15">
      <c r="A69" s="10" t="s">
        <v>71</v>
      </c>
      <c r="B69" s="11" t="s">
        <v>30</v>
      </c>
      <c r="C69" s="39">
        <v>250000</v>
      </c>
      <c r="D69" s="12">
        <f>IF((($D$2&gt;=4)*($D$2&lt;=11))=1,$C$2,0)</f>
        <v>0</v>
      </c>
      <c r="E69" s="39">
        <f t="shared" si="1"/>
        <v>0</v>
      </c>
    </row>
    <row r="70" spans="1:5" ht="22.5" customHeight="1" x14ac:dyDescent="0.15">
      <c r="A70" s="10" t="s">
        <v>72</v>
      </c>
      <c r="B70" s="11" t="s">
        <v>30</v>
      </c>
      <c r="C70" s="39">
        <v>200000</v>
      </c>
      <c r="D70" s="12"/>
      <c r="E70" s="39">
        <f t="shared" si="1"/>
        <v>0</v>
      </c>
    </row>
    <row r="71" spans="1:5" ht="22.5" customHeight="1" x14ac:dyDescent="0.2">
      <c r="A71" s="16" t="s">
        <v>42</v>
      </c>
      <c r="B71" s="7"/>
      <c r="C71" s="40"/>
      <c r="D71" s="12"/>
      <c r="E71" s="39">
        <f t="shared" si="1"/>
        <v>0</v>
      </c>
    </row>
    <row r="72" spans="1:5" ht="22.5" customHeight="1" x14ac:dyDescent="0.2">
      <c r="A72" s="9" t="s">
        <v>43</v>
      </c>
      <c r="B72" s="7"/>
      <c r="C72" s="40"/>
      <c r="D72" s="12"/>
      <c r="E72" s="39">
        <f t="shared" si="1"/>
        <v>0</v>
      </c>
    </row>
    <row r="73" spans="1:5" ht="22.5" customHeight="1" x14ac:dyDescent="0.15">
      <c r="A73" s="13" t="s">
        <v>44</v>
      </c>
      <c r="B73" s="11" t="s">
        <v>83</v>
      </c>
      <c r="C73" s="39">
        <v>50000</v>
      </c>
      <c r="D73" s="12">
        <f>ROUNDUP(D2*C2*$C$2/24,0)</f>
        <v>2</v>
      </c>
      <c r="E73" s="39">
        <f t="shared" si="1"/>
        <v>100000</v>
      </c>
    </row>
    <row r="74" spans="1:5" ht="22.5" customHeight="1" x14ac:dyDescent="0.15">
      <c r="A74" s="13" t="s">
        <v>46</v>
      </c>
      <c r="B74" s="11" t="s">
        <v>45</v>
      </c>
      <c r="C74" s="39">
        <v>100000</v>
      </c>
      <c r="D74" s="12">
        <v>1</v>
      </c>
      <c r="E74" s="39">
        <f t="shared" si="1"/>
        <v>100000</v>
      </c>
    </row>
    <row r="75" spans="1:5" ht="22.5" customHeight="1" x14ac:dyDescent="0.15">
      <c r="A75" s="13" t="s">
        <v>47</v>
      </c>
      <c r="B75" s="11" t="s">
        <v>17</v>
      </c>
      <c r="C75" s="39">
        <v>60000</v>
      </c>
      <c r="D75" s="12">
        <f>D2</f>
        <v>3</v>
      </c>
      <c r="E75" s="39">
        <f t="shared" ref="E75:E79" si="2">C75*D75</f>
        <v>180000</v>
      </c>
    </row>
    <row r="76" spans="1:5" ht="22.5" customHeight="1" x14ac:dyDescent="0.2">
      <c r="A76" s="9" t="s">
        <v>48</v>
      </c>
      <c r="B76" s="7"/>
      <c r="C76" s="14"/>
      <c r="D76" s="12"/>
      <c r="E76" s="39">
        <f t="shared" si="2"/>
        <v>0</v>
      </c>
    </row>
    <row r="77" spans="1:5" ht="22.5" customHeight="1" x14ac:dyDescent="0.15">
      <c r="A77" s="13" t="s">
        <v>49</v>
      </c>
      <c r="B77" s="11" t="s">
        <v>38</v>
      </c>
      <c r="C77" s="12">
        <v>2000000</v>
      </c>
      <c r="D77" s="12"/>
      <c r="E77" s="39">
        <f t="shared" si="2"/>
        <v>0</v>
      </c>
    </row>
    <row r="78" spans="1:5" ht="22.5" customHeight="1" x14ac:dyDescent="0.2">
      <c r="A78" s="9" t="s">
        <v>50</v>
      </c>
      <c r="B78" s="7"/>
      <c r="C78" s="14"/>
      <c r="D78" s="12"/>
      <c r="E78" s="39">
        <f t="shared" si="2"/>
        <v>0</v>
      </c>
    </row>
    <row r="79" spans="1:5" ht="22.5" customHeight="1" x14ac:dyDescent="0.15">
      <c r="A79" s="13" t="s">
        <v>51</v>
      </c>
      <c r="B79" s="11" t="s">
        <v>17</v>
      </c>
      <c r="C79" s="12">
        <v>16000</v>
      </c>
      <c r="D79" s="12">
        <f>D2</f>
        <v>3</v>
      </c>
      <c r="E79" s="39">
        <f t="shared" si="2"/>
        <v>48000</v>
      </c>
    </row>
    <row r="80" spans="1:5" ht="22.5" customHeight="1" x14ac:dyDescent="0.15">
      <c r="A80" s="10" t="s">
        <v>61</v>
      </c>
      <c r="B80" s="11" t="s">
        <v>5</v>
      </c>
      <c r="C80" s="12">
        <v>100000</v>
      </c>
      <c r="D80" s="12">
        <v>1</v>
      </c>
      <c r="E80" s="39">
        <f>C80*D80</f>
        <v>100000</v>
      </c>
    </row>
    <row r="81" spans="1:5" s="1" customFormat="1" ht="30" customHeight="1" x14ac:dyDescent="0.15">
      <c r="A81" s="18" t="s">
        <v>84</v>
      </c>
      <c r="B81" s="17"/>
      <c r="C81" s="5"/>
      <c r="D81" s="12"/>
      <c r="E81" s="42">
        <f>SUM(E7:E80)</f>
        <v>8998000</v>
      </c>
    </row>
    <row r="82" spans="1:5" ht="36" customHeight="1" x14ac:dyDescent="0.15">
      <c r="A82" s="18" t="s">
        <v>88</v>
      </c>
      <c r="B82" s="8"/>
      <c r="C82" s="8"/>
      <c r="D82" s="8"/>
      <c r="E82" s="42">
        <f>E81/D2</f>
        <v>2999333.3333333335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26A23-BE3E-4F8B-99E2-2AB6A7C7D75C}">
  <sheetPr>
    <pageSetUpPr fitToPage="1"/>
  </sheetPr>
  <dimension ref="A1:N82"/>
  <sheetViews>
    <sheetView topLeftCell="A50" zoomScale="70" zoomScaleNormal="70" workbookViewId="0">
      <selection activeCell="D3" sqref="D3"/>
    </sheetView>
  </sheetViews>
  <sheetFormatPr baseColWidth="10" defaultColWidth="9" defaultRowHeight="13" x14ac:dyDescent="0.15"/>
  <cols>
    <col min="1" max="1" width="103.19921875" bestFit="1" customWidth="1"/>
    <col min="2" max="2" width="23.19921875" customWidth="1"/>
    <col min="3" max="3" width="29.19921875" customWidth="1"/>
    <col min="4" max="4" width="24.19921875" customWidth="1"/>
    <col min="5" max="5" width="25.3984375" customWidth="1"/>
    <col min="8" max="8" width="7" bestFit="1" customWidth="1"/>
    <col min="9" max="10" width="20.796875" bestFit="1" customWidth="1"/>
    <col min="11" max="11" width="18.59765625" bestFit="1" customWidth="1"/>
    <col min="12" max="12" width="20.3984375" bestFit="1" customWidth="1"/>
    <col min="13" max="13" width="18.59765625" bestFit="1" customWidth="1"/>
    <col min="14" max="14" width="27.3984375" bestFit="1" customWidth="1"/>
  </cols>
  <sheetData>
    <row r="1" spans="1:5" ht="25.5" customHeight="1" x14ac:dyDescent="0.15">
      <c r="A1" s="2" t="s">
        <v>77</v>
      </c>
      <c r="B1" s="2" t="s">
        <v>78</v>
      </c>
      <c r="C1" s="2" t="s">
        <v>79</v>
      </c>
      <c r="D1" s="2" t="s">
        <v>80</v>
      </c>
    </row>
    <row r="2" spans="1:5" ht="27.75" customHeight="1" x14ac:dyDescent="0.15">
      <c r="A2" s="3" t="s">
        <v>94</v>
      </c>
      <c r="B2" s="3">
        <v>54</v>
      </c>
      <c r="C2" s="3">
        <v>4</v>
      </c>
      <c r="D2" s="43">
        <v>4</v>
      </c>
    </row>
    <row r="3" spans="1:5" ht="27.75" customHeight="1" x14ac:dyDescent="0.15">
      <c r="A3" s="4"/>
      <c r="B3" s="4"/>
      <c r="C3" s="4"/>
    </row>
    <row r="4" spans="1:5" ht="35.25" customHeight="1" x14ac:dyDescent="0.15">
      <c r="A4" s="5" t="s">
        <v>0</v>
      </c>
      <c r="B4" s="5" t="s">
        <v>1</v>
      </c>
      <c r="C4" s="5" t="s">
        <v>2</v>
      </c>
      <c r="D4" s="5" t="s">
        <v>81</v>
      </c>
      <c r="E4" s="5" t="s">
        <v>82</v>
      </c>
    </row>
    <row r="5" spans="1:5" ht="22.5" customHeight="1" x14ac:dyDescent="0.2">
      <c r="A5" s="6" t="s">
        <v>3</v>
      </c>
      <c r="B5" s="7"/>
      <c r="C5" s="7"/>
      <c r="D5" s="8"/>
      <c r="E5" s="8"/>
    </row>
    <row r="6" spans="1:5" ht="22.5" customHeight="1" x14ac:dyDescent="0.2">
      <c r="A6" s="9" t="s">
        <v>4</v>
      </c>
      <c r="B6" s="7"/>
      <c r="C6" s="7"/>
      <c r="D6" s="8"/>
      <c r="E6" s="8"/>
    </row>
    <row r="7" spans="1:5" ht="22.5" customHeight="1" x14ac:dyDescent="0.15">
      <c r="A7" s="10" t="s">
        <v>97</v>
      </c>
      <c r="B7" s="11" t="s">
        <v>5</v>
      </c>
      <c r="C7" s="39">
        <v>500000</v>
      </c>
      <c r="D7" s="12">
        <f>ROUNDUP($D$2/2,0)</f>
        <v>2</v>
      </c>
      <c r="E7" s="39">
        <f t="shared" ref="E7:E9" si="0">C7*D7</f>
        <v>1000000</v>
      </c>
    </row>
    <row r="8" spans="1:5" ht="22.5" customHeight="1" x14ac:dyDescent="0.15">
      <c r="A8" s="10" t="s">
        <v>98</v>
      </c>
      <c r="B8" s="11" t="s">
        <v>5</v>
      </c>
      <c r="C8" s="39">
        <v>250000</v>
      </c>
      <c r="D8" s="12"/>
      <c r="E8" s="39">
        <f t="shared" si="0"/>
        <v>0</v>
      </c>
    </row>
    <row r="9" spans="1:5" ht="22.5" customHeight="1" x14ac:dyDescent="0.15">
      <c r="A9" s="10" t="s">
        <v>73</v>
      </c>
      <c r="B9" s="11" t="s">
        <v>5</v>
      </c>
      <c r="C9" s="39">
        <v>560000</v>
      </c>
      <c r="D9" s="12"/>
      <c r="E9" s="39">
        <f t="shared" si="0"/>
        <v>0</v>
      </c>
    </row>
    <row r="10" spans="1:5" ht="22.5" hidden="1" customHeight="1" x14ac:dyDescent="0.15">
      <c r="A10" s="13" t="s">
        <v>6</v>
      </c>
      <c r="B10" s="11" t="s">
        <v>5</v>
      </c>
      <c r="C10" s="39">
        <v>435000</v>
      </c>
      <c r="D10" s="12"/>
      <c r="E10" s="39">
        <f>C10*D10</f>
        <v>0</v>
      </c>
    </row>
    <row r="11" spans="1:5" ht="22.5" hidden="1" customHeight="1" x14ac:dyDescent="0.15">
      <c r="A11" s="13" t="s">
        <v>7</v>
      </c>
      <c r="B11" s="11" t="s">
        <v>5</v>
      </c>
      <c r="C11" s="39">
        <v>300000</v>
      </c>
      <c r="D11" s="12"/>
      <c r="E11" s="39">
        <f t="shared" ref="E11:E74" si="1">C11*D11</f>
        <v>0</v>
      </c>
    </row>
    <row r="12" spans="1:5" ht="22.5" hidden="1" customHeight="1" x14ac:dyDescent="0.15">
      <c r="A12" s="10" t="s">
        <v>52</v>
      </c>
      <c r="B12" s="11" t="s">
        <v>5</v>
      </c>
      <c r="C12" s="39">
        <v>250000</v>
      </c>
      <c r="D12" s="12"/>
      <c r="E12" s="39">
        <f t="shared" si="1"/>
        <v>0</v>
      </c>
    </row>
    <row r="13" spans="1:5" ht="22.5" hidden="1" customHeight="1" x14ac:dyDescent="0.15">
      <c r="A13" s="10" t="s">
        <v>53</v>
      </c>
      <c r="B13" s="11" t="s">
        <v>5</v>
      </c>
      <c r="C13" s="39">
        <v>275000</v>
      </c>
      <c r="D13" s="12"/>
      <c r="E13" s="39">
        <f t="shared" si="1"/>
        <v>0</v>
      </c>
    </row>
    <row r="14" spans="1:5" ht="22.5" hidden="1" customHeight="1" x14ac:dyDescent="0.15">
      <c r="A14" s="10" t="s">
        <v>54</v>
      </c>
      <c r="B14" s="11" t="s">
        <v>5</v>
      </c>
      <c r="C14" s="39">
        <v>450000</v>
      </c>
      <c r="D14" s="12"/>
      <c r="E14" s="39">
        <f t="shared" si="1"/>
        <v>0</v>
      </c>
    </row>
    <row r="15" spans="1:5" ht="22.5" hidden="1" customHeight="1" x14ac:dyDescent="0.15">
      <c r="A15" s="10" t="s">
        <v>55</v>
      </c>
      <c r="B15" s="11" t="s">
        <v>5</v>
      </c>
      <c r="C15" s="39">
        <v>450000</v>
      </c>
      <c r="D15" s="12"/>
      <c r="E15" s="39">
        <f t="shared" si="1"/>
        <v>0</v>
      </c>
    </row>
    <row r="16" spans="1:5" ht="22.5" hidden="1" customHeight="1" x14ac:dyDescent="0.15">
      <c r="A16" s="10" t="s">
        <v>65</v>
      </c>
      <c r="B16" s="11" t="s">
        <v>5</v>
      </c>
      <c r="C16" s="39">
        <v>337500</v>
      </c>
      <c r="D16" s="12"/>
      <c r="E16" s="39">
        <f t="shared" si="1"/>
        <v>0</v>
      </c>
    </row>
    <row r="17" spans="1:14" ht="22.5" hidden="1" customHeight="1" x14ac:dyDescent="0.2">
      <c r="A17" s="10" t="s">
        <v>67</v>
      </c>
      <c r="B17" s="11" t="s">
        <v>5</v>
      </c>
      <c r="C17" s="39">
        <v>375000</v>
      </c>
      <c r="D17" s="12"/>
      <c r="E17" s="39">
        <f t="shared" si="1"/>
        <v>0</v>
      </c>
      <c r="H17" s="36"/>
      <c r="I17" s="37"/>
      <c r="J17" s="37"/>
      <c r="K17" s="38"/>
      <c r="L17" s="38"/>
      <c r="M17" s="38"/>
      <c r="N17" s="38"/>
    </row>
    <row r="18" spans="1:14" ht="22.5" hidden="1" customHeight="1" x14ac:dyDescent="0.2">
      <c r="A18" s="10" t="s">
        <v>66</v>
      </c>
      <c r="B18" s="11" t="s">
        <v>5</v>
      </c>
      <c r="C18" s="39">
        <v>412500</v>
      </c>
      <c r="D18" s="12"/>
      <c r="E18" s="39">
        <f t="shared" si="1"/>
        <v>0</v>
      </c>
      <c r="H18" s="36"/>
      <c r="I18" s="37"/>
      <c r="J18" s="37"/>
      <c r="K18" s="38"/>
      <c r="L18" s="38"/>
      <c r="M18" s="38"/>
      <c r="N18" s="38"/>
    </row>
    <row r="19" spans="1:14" ht="22.5" hidden="1" customHeight="1" x14ac:dyDescent="0.2">
      <c r="A19" s="10" t="s">
        <v>68</v>
      </c>
      <c r="B19" s="11" t="s">
        <v>5</v>
      </c>
      <c r="C19" s="39">
        <v>487500</v>
      </c>
      <c r="D19" s="12"/>
      <c r="E19" s="39">
        <f t="shared" si="1"/>
        <v>0</v>
      </c>
      <c r="H19" s="36"/>
      <c r="I19" s="37"/>
      <c r="J19" s="37"/>
      <c r="K19" s="38"/>
      <c r="L19" s="38"/>
      <c r="M19" s="38"/>
      <c r="N19" s="38"/>
    </row>
    <row r="20" spans="1:14" ht="22.5" hidden="1" customHeight="1" x14ac:dyDescent="0.2">
      <c r="A20" s="10" t="s">
        <v>69</v>
      </c>
      <c r="B20" s="11" t="s">
        <v>5</v>
      </c>
      <c r="C20" s="39">
        <v>562500</v>
      </c>
      <c r="D20" s="12"/>
      <c r="E20" s="39">
        <f t="shared" si="1"/>
        <v>0</v>
      </c>
      <c r="H20" s="36"/>
      <c r="I20" s="37"/>
      <c r="J20" s="37"/>
      <c r="K20" s="38"/>
      <c r="L20" s="38"/>
      <c r="M20" s="38"/>
      <c r="N20" s="38"/>
    </row>
    <row r="21" spans="1:14" ht="22.5" customHeight="1" x14ac:dyDescent="0.2">
      <c r="A21" s="9" t="s">
        <v>8</v>
      </c>
      <c r="B21" s="7"/>
      <c r="C21" s="40"/>
      <c r="D21" s="12"/>
      <c r="E21" s="39"/>
    </row>
    <row r="22" spans="1:14" ht="22.5" customHeight="1" x14ac:dyDescent="0.15">
      <c r="A22" s="10" t="s">
        <v>62</v>
      </c>
      <c r="B22" s="11" t="s">
        <v>5</v>
      </c>
      <c r="C22" s="39">
        <v>750000</v>
      </c>
      <c r="D22" s="12">
        <f>ROUNDUP(D2/2,0)</f>
        <v>2</v>
      </c>
      <c r="E22" s="39">
        <f t="shared" si="1"/>
        <v>1500000</v>
      </c>
    </row>
    <row r="23" spans="1:14" ht="22.5" customHeight="1" x14ac:dyDescent="0.15">
      <c r="A23" s="10" t="s">
        <v>63</v>
      </c>
      <c r="B23" s="11" t="s">
        <v>5</v>
      </c>
      <c r="C23" s="39">
        <v>950000</v>
      </c>
      <c r="D23" s="12"/>
      <c r="E23" s="39">
        <f t="shared" si="1"/>
        <v>0</v>
      </c>
    </row>
    <row r="24" spans="1:14" ht="22.5" customHeight="1" x14ac:dyDescent="0.15">
      <c r="A24" s="10" t="s">
        <v>64</v>
      </c>
      <c r="B24" s="11" t="s">
        <v>5</v>
      </c>
      <c r="C24" s="39">
        <v>300000</v>
      </c>
      <c r="D24" s="12"/>
      <c r="E24" s="39">
        <f t="shared" si="1"/>
        <v>0</v>
      </c>
    </row>
    <row r="25" spans="1:14" ht="22.5" customHeight="1" x14ac:dyDescent="0.2">
      <c r="A25" s="9" t="s">
        <v>9</v>
      </c>
      <c r="B25" s="7"/>
      <c r="C25" s="40"/>
      <c r="D25" s="12"/>
      <c r="E25" s="39">
        <f t="shared" si="1"/>
        <v>0</v>
      </c>
    </row>
    <row r="26" spans="1:14" ht="22.5" customHeight="1" x14ac:dyDescent="0.15">
      <c r="A26" s="10" t="s">
        <v>56</v>
      </c>
      <c r="B26" s="11" t="s">
        <v>5</v>
      </c>
      <c r="C26" s="39">
        <v>425000</v>
      </c>
      <c r="D26" s="12"/>
      <c r="E26" s="39">
        <f t="shared" si="1"/>
        <v>0</v>
      </c>
    </row>
    <row r="27" spans="1:14" ht="22.5" customHeight="1" x14ac:dyDescent="0.15">
      <c r="A27" s="10" t="s">
        <v>10</v>
      </c>
      <c r="B27" s="11" t="s">
        <v>5</v>
      </c>
      <c r="C27" s="39">
        <v>260000</v>
      </c>
      <c r="D27" s="12">
        <f>ROUNDUP($D$2/2,0)</f>
        <v>2</v>
      </c>
      <c r="E27" s="39">
        <f t="shared" si="1"/>
        <v>520000</v>
      </c>
    </row>
    <row r="28" spans="1:14" ht="22.5" customHeight="1" x14ac:dyDescent="0.15">
      <c r="A28" s="10" t="s">
        <v>11</v>
      </c>
      <c r="B28" s="11" t="s">
        <v>5</v>
      </c>
      <c r="C28" s="39">
        <v>300000</v>
      </c>
      <c r="D28" s="12"/>
      <c r="E28" s="39">
        <f t="shared" si="1"/>
        <v>0</v>
      </c>
    </row>
    <row r="29" spans="1:14" ht="22.5" customHeight="1" x14ac:dyDescent="0.15">
      <c r="A29" s="13" t="s">
        <v>12</v>
      </c>
      <c r="B29" s="11" t="s">
        <v>5</v>
      </c>
      <c r="C29" s="39">
        <v>316000</v>
      </c>
      <c r="D29" s="12"/>
      <c r="E29" s="39">
        <f t="shared" si="1"/>
        <v>0</v>
      </c>
    </row>
    <row r="30" spans="1:14" ht="22.5" customHeight="1" x14ac:dyDescent="0.15">
      <c r="A30" s="13" t="s">
        <v>13</v>
      </c>
      <c r="B30" s="11" t="s">
        <v>5</v>
      </c>
      <c r="C30" s="39">
        <v>380000</v>
      </c>
      <c r="D30" s="12"/>
      <c r="E30" s="39">
        <f t="shared" si="1"/>
        <v>0</v>
      </c>
    </row>
    <row r="31" spans="1:14" ht="22.5" customHeight="1" x14ac:dyDescent="0.15">
      <c r="A31" s="13" t="s">
        <v>14</v>
      </c>
      <c r="B31" s="11" t="s">
        <v>5</v>
      </c>
      <c r="C31" s="39">
        <v>440000</v>
      </c>
      <c r="D31" s="12"/>
      <c r="E31" s="39">
        <f t="shared" si="1"/>
        <v>0</v>
      </c>
    </row>
    <row r="32" spans="1:14" ht="22.5" customHeight="1" x14ac:dyDescent="0.2">
      <c r="A32" s="6" t="s">
        <v>15</v>
      </c>
      <c r="B32" s="7"/>
      <c r="C32" s="40"/>
      <c r="D32" s="12"/>
      <c r="E32" s="39">
        <f t="shared" si="1"/>
        <v>0</v>
      </c>
    </row>
    <row r="33" spans="1:5" ht="22.5" customHeight="1" x14ac:dyDescent="0.2">
      <c r="A33" s="9" t="s">
        <v>16</v>
      </c>
      <c r="B33" s="7"/>
      <c r="C33" s="40"/>
      <c r="D33" s="12"/>
      <c r="E33" s="39">
        <f t="shared" si="1"/>
        <v>0</v>
      </c>
    </row>
    <row r="34" spans="1:5" ht="22.5" customHeight="1" x14ac:dyDescent="0.15">
      <c r="A34" s="10" t="s">
        <v>60</v>
      </c>
      <c r="B34" s="11" t="s">
        <v>17</v>
      </c>
      <c r="C34" s="39">
        <v>75000</v>
      </c>
      <c r="D34" s="12">
        <f>$D$2</f>
        <v>4</v>
      </c>
      <c r="E34" s="39">
        <f t="shared" si="1"/>
        <v>300000</v>
      </c>
    </row>
    <row r="35" spans="1:5" ht="22.5" customHeight="1" x14ac:dyDescent="0.15">
      <c r="A35" s="13" t="s">
        <v>18</v>
      </c>
      <c r="B35" s="11" t="s">
        <v>17</v>
      </c>
      <c r="C35" s="39">
        <v>55000</v>
      </c>
      <c r="D35" s="12"/>
      <c r="E35" s="39">
        <f t="shared" si="1"/>
        <v>0</v>
      </c>
    </row>
    <row r="36" spans="1:5" ht="22.5" customHeight="1" x14ac:dyDescent="0.15">
      <c r="A36" s="10" t="s">
        <v>19</v>
      </c>
      <c r="B36" s="11" t="s">
        <v>17</v>
      </c>
      <c r="C36" s="39">
        <v>25000</v>
      </c>
      <c r="D36" s="12">
        <f>$D$2</f>
        <v>4</v>
      </c>
      <c r="E36" s="39">
        <f t="shared" si="1"/>
        <v>100000</v>
      </c>
    </row>
    <row r="37" spans="1:5" ht="22.5" customHeight="1" x14ac:dyDescent="0.15">
      <c r="A37" s="10" t="s">
        <v>76</v>
      </c>
      <c r="B37" s="11" t="s">
        <v>5</v>
      </c>
      <c r="C37" s="39">
        <v>250000</v>
      </c>
      <c r="D37" s="12">
        <v>1</v>
      </c>
      <c r="E37" s="39">
        <f t="shared" si="1"/>
        <v>250000</v>
      </c>
    </row>
    <row r="38" spans="1:5" ht="22.5" customHeight="1" x14ac:dyDescent="0.15">
      <c r="A38" s="13" t="s">
        <v>95</v>
      </c>
      <c r="B38" s="11" t="s">
        <v>17</v>
      </c>
      <c r="C38" s="39">
        <v>65000</v>
      </c>
      <c r="D38" s="12"/>
      <c r="E38" s="39">
        <f t="shared" si="1"/>
        <v>0</v>
      </c>
    </row>
    <row r="39" spans="1:5" ht="22.5" customHeight="1" x14ac:dyDescent="0.15">
      <c r="A39" s="13" t="s">
        <v>96</v>
      </c>
      <c r="B39" s="11" t="s">
        <v>17</v>
      </c>
      <c r="C39" s="39">
        <v>65000</v>
      </c>
      <c r="D39" s="12"/>
      <c r="E39" s="39">
        <f t="shared" si="1"/>
        <v>0</v>
      </c>
    </row>
    <row r="40" spans="1:5" ht="22.5" customHeight="1" x14ac:dyDescent="0.15">
      <c r="A40" s="10" t="s">
        <v>57</v>
      </c>
      <c r="B40" s="11" t="s">
        <v>17</v>
      </c>
      <c r="C40" s="39">
        <v>60000</v>
      </c>
      <c r="D40" s="12">
        <f>D2</f>
        <v>4</v>
      </c>
      <c r="E40" s="39">
        <f t="shared" si="1"/>
        <v>240000</v>
      </c>
    </row>
    <row r="41" spans="1:5" ht="22.5" customHeight="1" x14ac:dyDescent="0.15">
      <c r="A41" s="10" t="s">
        <v>58</v>
      </c>
      <c r="B41" s="11" t="s">
        <v>17</v>
      </c>
      <c r="C41" s="39">
        <v>60000</v>
      </c>
      <c r="D41" s="12"/>
      <c r="E41" s="39">
        <f t="shared" si="1"/>
        <v>0</v>
      </c>
    </row>
    <row r="42" spans="1:5" ht="22.5" customHeight="1" x14ac:dyDescent="0.15">
      <c r="A42" s="13" t="s">
        <v>20</v>
      </c>
      <c r="B42" s="11" t="s">
        <v>5</v>
      </c>
      <c r="C42" s="39">
        <v>35000</v>
      </c>
      <c r="D42" s="12"/>
      <c r="E42" s="39">
        <f t="shared" si="1"/>
        <v>0</v>
      </c>
    </row>
    <row r="43" spans="1:5" ht="22.5" customHeight="1" x14ac:dyDescent="0.2">
      <c r="A43" s="9" t="s">
        <v>21</v>
      </c>
      <c r="B43" s="7"/>
      <c r="C43" s="41"/>
      <c r="D43" s="12"/>
      <c r="E43" s="39"/>
    </row>
    <row r="44" spans="1:5" ht="22.5" customHeight="1" x14ac:dyDescent="0.15">
      <c r="A44" s="10" t="s">
        <v>59</v>
      </c>
      <c r="B44" s="11" t="s">
        <v>17</v>
      </c>
      <c r="C44" s="39">
        <v>160000</v>
      </c>
      <c r="D44" s="12">
        <f>D2</f>
        <v>4</v>
      </c>
      <c r="E44" s="39">
        <f t="shared" si="1"/>
        <v>640000</v>
      </c>
    </row>
    <row r="45" spans="1:5" ht="22.5" customHeight="1" x14ac:dyDescent="0.15">
      <c r="A45" s="13" t="s">
        <v>22</v>
      </c>
      <c r="B45" s="11" t="s">
        <v>17</v>
      </c>
      <c r="C45" s="39">
        <v>500000</v>
      </c>
      <c r="D45" s="12">
        <f>ROUNDUP(D2/4,0)</f>
        <v>1</v>
      </c>
      <c r="E45" s="39">
        <f t="shared" si="1"/>
        <v>500000</v>
      </c>
    </row>
    <row r="46" spans="1:5" ht="22.5" customHeight="1" x14ac:dyDescent="0.2">
      <c r="A46" s="9" t="s">
        <v>23</v>
      </c>
      <c r="B46" s="7"/>
      <c r="C46" s="41"/>
      <c r="D46" s="12"/>
      <c r="E46" s="39">
        <f t="shared" si="1"/>
        <v>0</v>
      </c>
    </row>
    <row r="47" spans="1:5" ht="22.5" customHeight="1" x14ac:dyDescent="0.15">
      <c r="A47" s="13" t="s">
        <v>24</v>
      </c>
      <c r="B47" s="11" t="s">
        <v>17</v>
      </c>
      <c r="C47" s="39">
        <v>150000</v>
      </c>
      <c r="D47" s="12">
        <f>D2</f>
        <v>4</v>
      </c>
      <c r="E47" s="39">
        <f t="shared" si="1"/>
        <v>600000</v>
      </c>
    </row>
    <row r="48" spans="1:5" ht="22.5" customHeight="1" x14ac:dyDescent="0.15">
      <c r="A48" s="10" t="s">
        <v>75</v>
      </c>
      <c r="B48" s="11" t="s">
        <v>5</v>
      </c>
      <c r="C48" s="39">
        <v>200000</v>
      </c>
      <c r="D48" s="12">
        <v>1</v>
      </c>
      <c r="E48" s="39">
        <f t="shared" si="1"/>
        <v>200000</v>
      </c>
    </row>
    <row r="49" spans="1:5" ht="22.5" customHeight="1" x14ac:dyDescent="0.15">
      <c r="A49" s="13" t="s">
        <v>25</v>
      </c>
      <c r="B49" s="11" t="s">
        <v>17</v>
      </c>
      <c r="C49" s="39">
        <v>50000</v>
      </c>
      <c r="D49" s="12">
        <f>D2</f>
        <v>4</v>
      </c>
      <c r="E49" s="39">
        <f t="shared" si="1"/>
        <v>200000</v>
      </c>
    </row>
    <row r="50" spans="1:5" ht="22.5" customHeight="1" x14ac:dyDescent="0.15">
      <c r="A50" s="13" t="s">
        <v>26</v>
      </c>
      <c r="B50" s="11" t="s">
        <v>17</v>
      </c>
      <c r="C50" s="39">
        <v>40000</v>
      </c>
      <c r="D50" s="12">
        <f>$D$2</f>
        <v>4</v>
      </c>
      <c r="E50" s="39">
        <f t="shared" si="1"/>
        <v>160000</v>
      </c>
    </row>
    <row r="51" spans="1:5" ht="22.5" customHeight="1" x14ac:dyDescent="0.2">
      <c r="A51" s="16" t="s">
        <v>27</v>
      </c>
      <c r="B51" s="7"/>
      <c r="C51" s="40"/>
      <c r="D51" s="12"/>
      <c r="E51" s="39"/>
    </row>
    <row r="52" spans="1:5" ht="22.5" customHeight="1" x14ac:dyDescent="0.2">
      <c r="A52" s="9" t="s">
        <v>28</v>
      </c>
      <c r="B52" s="7"/>
      <c r="C52" s="40"/>
      <c r="D52" s="12"/>
      <c r="E52" s="39"/>
    </row>
    <row r="53" spans="1:5" ht="22.5" customHeight="1" x14ac:dyDescent="0.15">
      <c r="A53" s="13" t="s">
        <v>29</v>
      </c>
      <c r="B53" s="11" t="s">
        <v>30</v>
      </c>
      <c r="C53" s="39">
        <v>450000</v>
      </c>
      <c r="D53" s="12">
        <f>IF($D$2=1,$C$2, IF($D$2=2,$C$2,0))</f>
        <v>0</v>
      </c>
      <c r="E53" s="39">
        <f t="shared" si="1"/>
        <v>0</v>
      </c>
    </row>
    <row r="54" spans="1:5" ht="22.5" customHeight="1" x14ac:dyDescent="0.15">
      <c r="A54" s="13" t="s">
        <v>31</v>
      </c>
      <c r="B54" s="11" t="s">
        <v>30</v>
      </c>
      <c r="C54" s="39">
        <v>550000</v>
      </c>
      <c r="D54" s="12">
        <f>IF($D$2=3,$C$2, 0)</f>
        <v>0</v>
      </c>
      <c r="E54" s="39">
        <f t="shared" si="1"/>
        <v>0</v>
      </c>
    </row>
    <row r="55" spans="1:5" ht="22.5" customHeight="1" x14ac:dyDescent="0.15">
      <c r="A55" s="10" t="s">
        <v>32</v>
      </c>
      <c r="B55" s="11" t="s">
        <v>30</v>
      </c>
      <c r="C55" s="39">
        <v>1100000</v>
      </c>
      <c r="D55" s="12">
        <f>IF((($D$2&gt;=4)*($D$2&lt;=11))=1,$C$2,0)</f>
        <v>4</v>
      </c>
      <c r="E55" s="39">
        <f t="shared" si="1"/>
        <v>4400000</v>
      </c>
    </row>
    <row r="56" spans="1:5" ht="22.5" customHeight="1" x14ac:dyDescent="0.15">
      <c r="A56" s="13" t="s">
        <v>33</v>
      </c>
      <c r="B56" s="11" t="s">
        <v>30</v>
      </c>
      <c r="C56" s="39">
        <v>1300000</v>
      </c>
      <c r="D56" s="12"/>
      <c r="E56" s="39">
        <f t="shared" si="1"/>
        <v>0</v>
      </c>
    </row>
    <row r="57" spans="1:5" ht="22.5" customHeight="1" x14ac:dyDescent="0.15">
      <c r="A57" s="10" t="s">
        <v>91</v>
      </c>
      <c r="B57" s="11" t="s">
        <v>30</v>
      </c>
      <c r="C57" s="39">
        <v>650000</v>
      </c>
      <c r="D57" s="12">
        <f>IF((($D$2&gt;=10)*($D$2&lt;=11))=1,1,0)</f>
        <v>0</v>
      </c>
      <c r="E57" s="39">
        <f t="shared" si="1"/>
        <v>0</v>
      </c>
    </row>
    <row r="58" spans="1:5" ht="22.5" customHeight="1" x14ac:dyDescent="0.2">
      <c r="A58" s="9" t="s">
        <v>34</v>
      </c>
      <c r="B58" s="7"/>
      <c r="C58" s="40"/>
      <c r="D58" s="12"/>
      <c r="E58" s="39"/>
    </row>
    <row r="59" spans="1:5" ht="22.5" customHeight="1" x14ac:dyDescent="0.15">
      <c r="A59" s="13" t="s">
        <v>35</v>
      </c>
      <c r="B59" s="11" t="s">
        <v>5</v>
      </c>
      <c r="C59" s="39">
        <v>200000</v>
      </c>
      <c r="D59" s="12">
        <f>IF((($D$2&gt;=10)*($D$2&lt;=11))=1,2,1)</f>
        <v>1</v>
      </c>
      <c r="E59" s="39">
        <f t="shared" si="1"/>
        <v>200000</v>
      </c>
    </row>
    <row r="60" spans="1:5" ht="22.5" customHeight="1" x14ac:dyDescent="0.15">
      <c r="A60" s="10" t="s">
        <v>70</v>
      </c>
      <c r="B60" s="11" t="s">
        <v>5</v>
      </c>
      <c r="C60" s="39">
        <v>300000</v>
      </c>
      <c r="D60" s="12"/>
      <c r="E60" s="39">
        <f t="shared" si="1"/>
        <v>0</v>
      </c>
    </row>
    <row r="61" spans="1:5" ht="22.5" customHeight="1" x14ac:dyDescent="0.2">
      <c r="A61" s="9" t="s">
        <v>36</v>
      </c>
      <c r="B61" s="7"/>
      <c r="C61" s="40"/>
      <c r="D61" s="12"/>
      <c r="E61" s="39">
        <f t="shared" si="1"/>
        <v>0</v>
      </c>
    </row>
    <row r="62" spans="1:5" ht="22.5" customHeight="1" x14ac:dyDescent="0.15">
      <c r="A62" s="13" t="s">
        <v>37</v>
      </c>
      <c r="B62" s="11" t="s">
        <v>38</v>
      </c>
      <c r="C62" s="39">
        <v>200000</v>
      </c>
      <c r="D62" s="12"/>
      <c r="E62" s="39">
        <f t="shared" si="1"/>
        <v>0</v>
      </c>
    </row>
    <row r="63" spans="1:5" ht="22.5" customHeight="1" x14ac:dyDescent="0.2">
      <c r="A63" s="15" t="s">
        <v>74</v>
      </c>
      <c r="B63" s="7"/>
      <c r="C63" s="40"/>
      <c r="D63" s="12"/>
      <c r="E63" s="39">
        <f t="shared" si="1"/>
        <v>0</v>
      </c>
    </row>
    <row r="64" spans="1:5" ht="22.5" customHeight="1" x14ac:dyDescent="0.15">
      <c r="A64" s="10" t="s">
        <v>92</v>
      </c>
      <c r="B64" s="11" t="s">
        <v>38</v>
      </c>
      <c r="C64" s="39">
        <v>700000</v>
      </c>
      <c r="D64" s="12">
        <f>IF((($D$2&gt;=1)*($D$2&lt;=3))=1,1,0)</f>
        <v>0</v>
      </c>
      <c r="E64" s="39">
        <f t="shared" si="1"/>
        <v>0</v>
      </c>
    </row>
    <row r="65" spans="1:5" ht="22.5" customHeight="1" x14ac:dyDescent="0.15">
      <c r="A65" s="10" t="s">
        <v>93</v>
      </c>
      <c r="B65" s="11" t="s">
        <v>38</v>
      </c>
      <c r="C65" s="39">
        <v>1100000</v>
      </c>
      <c r="D65" s="12">
        <f>IF((($D$2&gt;=4)*($D$2&lt;=11))=1,1,0)</f>
        <v>1</v>
      </c>
      <c r="E65" s="39">
        <f t="shared" si="1"/>
        <v>1100000</v>
      </c>
    </row>
    <row r="66" spans="1:5" ht="22.5" customHeight="1" x14ac:dyDescent="0.2">
      <c r="A66" s="16" t="s">
        <v>39</v>
      </c>
      <c r="B66" s="7"/>
      <c r="C66" s="40"/>
      <c r="D66" s="12"/>
      <c r="E66" s="39">
        <f t="shared" si="1"/>
        <v>0</v>
      </c>
    </row>
    <row r="67" spans="1:5" ht="22.5" customHeight="1" x14ac:dyDescent="0.2">
      <c r="A67" s="9" t="s">
        <v>40</v>
      </c>
      <c r="B67" s="7"/>
      <c r="C67" s="40"/>
      <c r="D67" s="12"/>
      <c r="E67" s="39">
        <f t="shared" si="1"/>
        <v>0</v>
      </c>
    </row>
    <row r="68" spans="1:5" ht="22.5" customHeight="1" x14ac:dyDescent="0.15">
      <c r="A68" s="13" t="s">
        <v>41</v>
      </c>
      <c r="B68" s="11" t="s">
        <v>30</v>
      </c>
      <c r="C68" s="39">
        <v>250000</v>
      </c>
      <c r="D68" s="12">
        <f>IF((($D$2&gt;=1)*($D$2&lt;=3))=1,$C$2,0)</f>
        <v>0</v>
      </c>
      <c r="E68" s="39">
        <f t="shared" si="1"/>
        <v>0</v>
      </c>
    </row>
    <row r="69" spans="1:5" ht="22.5" customHeight="1" x14ac:dyDescent="0.15">
      <c r="A69" s="10" t="s">
        <v>71</v>
      </c>
      <c r="B69" s="11" t="s">
        <v>30</v>
      </c>
      <c r="C69" s="39">
        <v>250000</v>
      </c>
      <c r="D69" s="12">
        <f>IF((($D$2&gt;=4)*($D$2&lt;=11))=1,$C$2,0)</f>
        <v>4</v>
      </c>
      <c r="E69" s="39">
        <f t="shared" si="1"/>
        <v>1000000</v>
      </c>
    </row>
    <row r="70" spans="1:5" ht="22.5" customHeight="1" x14ac:dyDescent="0.15">
      <c r="A70" s="10" t="s">
        <v>72</v>
      </c>
      <c r="B70" s="11" t="s">
        <v>30</v>
      </c>
      <c r="C70" s="39">
        <v>200000</v>
      </c>
      <c r="D70" s="12"/>
      <c r="E70" s="39">
        <f t="shared" si="1"/>
        <v>0</v>
      </c>
    </row>
    <row r="71" spans="1:5" ht="22.5" customHeight="1" x14ac:dyDescent="0.2">
      <c r="A71" s="16" t="s">
        <v>42</v>
      </c>
      <c r="B71" s="7"/>
      <c r="C71" s="40"/>
      <c r="D71" s="12"/>
      <c r="E71" s="39">
        <f t="shared" si="1"/>
        <v>0</v>
      </c>
    </row>
    <row r="72" spans="1:5" ht="22.5" customHeight="1" x14ac:dyDescent="0.2">
      <c r="A72" s="9" t="s">
        <v>43</v>
      </c>
      <c r="B72" s="7"/>
      <c r="C72" s="40"/>
      <c r="D72" s="12"/>
      <c r="E72" s="39">
        <f t="shared" si="1"/>
        <v>0</v>
      </c>
    </row>
    <row r="73" spans="1:5" ht="22.5" customHeight="1" x14ac:dyDescent="0.15">
      <c r="A73" s="13" t="s">
        <v>44</v>
      </c>
      <c r="B73" s="11" t="s">
        <v>83</v>
      </c>
      <c r="C73" s="39">
        <v>50000</v>
      </c>
      <c r="D73" s="12">
        <f>ROUNDUP(D2*C2*$C$2/24,0)</f>
        <v>3</v>
      </c>
      <c r="E73" s="39">
        <f t="shared" si="1"/>
        <v>150000</v>
      </c>
    </row>
    <row r="74" spans="1:5" ht="22.5" customHeight="1" x14ac:dyDescent="0.15">
      <c r="A74" s="13" t="s">
        <v>46</v>
      </c>
      <c r="B74" s="11" t="s">
        <v>45</v>
      </c>
      <c r="C74" s="39">
        <v>100000</v>
      </c>
      <c r="D74" s="12">
        <v>1</v>
      </c>
      <c r="E74" s="39">
        <f t="shared" si="1"/>
        <v>100000</v>
      </c>
    </row>
    <row r="75" spans="1:5" ht="22.5" customHeight="1" x14ac:dyDescent="0.15">
      <c r="A75" s="13" t="s">
        <v>47</v>
      </c>
      <c r="B75" s="11" t="s">
        <v>17</v>
      </c>
      <c r="C75" s="39">
        <v>60000</v>
      </c>
      <c r="D75" s="12">
        <f>D2</f>
        <v>4</v>
      </c>
      <c r="E75" s="39">
        <f t="shared" ref="E75:E79" si="2">C75*D75</f>
        <v>240000</v>
      </c>
    </row>
    <row r="76" spans="1:5" ht="22.5" customHeight="1" x14ac:dyDescent="0.2">
      <c r="A76" s="9" t="s">
        <v>48</v>
      </c>
      <c r="B76" s="7"/>
      <c r="C76" s="14"/>
      <c r="D76" s="12"/>
      <c r="E76" s="39">
        <f t="shared" si="2"/>
        <v>0</v>
      </c>
    </row>
    <row r="77" spans="1:5" ht="22.5" customHeight="1" x14ac:dyDescent="0.15">
      <c r="A77" s="13" t="s">
        <v>49</v>
      </c>
      <c r="B77" s="11" t="s">
        <v>38</v>
      </c>
      <c r="C77" s="12">
        <v>2000000</v>
      </c>
      <c r="D77" s="12"/>
      <c r="E77" s="39">
        <f t="shared" si="2"/>
        <v>0</v>
      </c>
    </row>
    <row r="78" spans="1:5" ht="22.5" customHeight="1" x14ac:dyDescent="0.2">
      <c r="A78" s="9" t="s">
        <v>50</v>
      </c>
      <c r="B78" s="7"/>
      <c r="C78" s="14"/>
      <c r="D78" s="12"/>
      <c r="E78" s="39">
        <f t="shared" si="2"/>
        <v>0</v>
      </c>
    </row>
    <row r="79" spans="1:5" ht="22.5" customHeight="1" x14ac:dyDescent="0.15">
      <c r="A79" s="13" t="s">
        <v>51</v>
      </c>
      <c r="B79" s="11" t="s">
        <v>17</v>
      </c>
      <c r="C79" s="12">
        <v>16000</v>
      </c>
      <c r="D79" s="12">
        <f>D2</f>
        <v>4</v>
      </c>
      <c r="E79" s="39">
        <f t="shared" si="2"/>
        <v>64000</v>
      </c>
    </row>
    <row r="80" spans="1:5" ht="22.5" customHeight="1" x14ac:dyDescent="0.15">
      <c r="A80" s="10" t="s">
        <v>61</v>
      </c>
      <c r="B80" s="11" t="s">
        <v>5</v>
      </c>
      <c r="C80" s="12">
        <v>100000</v>
      </c>
      <c r="D80" s="12">
        <v>1</v>
      </c>
      <c r="E80" s="39">
        <f>C80*D80</f>
        <v>100000</v>
      </c>
    </row>
    <row r="81" spans="1:5" s="1" customFormat="1" ht="30" customHeight="1" x14ac:dyDescent="0.15">
      <c r="A81" s="18" t="s">
        <v>84</v>
      </c>
      <c r="B81" s="17"/>
      <c r="C81" s="5"/>
      <c r="D81" s="12"/>
      <c r="E81" s="42">
        <f>SUM(E7:E80)</f>
        <v>13564000</v>
      </c>
    </row>
    <row r="82" spans="1:5" ht="36" customHeight="1" x14ac:dyDescent="0.15">
      <c r="A82" s="18" t="s">
        <v>88</v>
      </c>
      <c r="B82" s="8"/>
      <c r="C82" s="8"/>
      <c r="D82" s="8"/>
      <c r="E82" s="42">
        <f>E81/D2</f>
        <v>3391000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7A506-E44E-4FAE-B9E0-82DA25D5B73D}">
  <sheetPr>
    <pageSetUpPr fitToPage="1"/>
  </sheetPr>
  <dimension ref="A1:N82"/>
  <sheetViews>
    <sheetView topLeftCell="A51" zoomScale="70" zoomScaleNormal="70" workbookViewId="0">
      <selection activeCell="D32" sqref="D32"/>
    </sheetView>
  </sheetViews>
  <sheetFormatPr baseColWidth="10" defaultColWidth="9" defaultRowHeight="13" x14ac:dyDescent="0.15"/>
  <cols>
    <col min="1" max="1" width="103.19921875" bestFit="1" customWidth="1"/>
    <col min="2" max="2" width="23.19921875" customWidth="1"/>
    <col min="3" max="3" width="29.19921875" customWidth="1"/>
    <col min="4" max="4" width="24.19921875" customWidth="1"/>
    <col min="5" max="5" width="25.3984375" customWidth="1"/>
    <col min="8" max="8" width="7" bestFit="1" customWidth="1"/>
    <col min="9" max="10" width="20.796875" bestFit="1" customWidth="1"/>
    <col min="11" max="11" width="18.59765625" bestFit="1" customWidth="1"/>
    <col min="12" max="12" width="20.3984375" bestFit="1" customWidth="1"/>
    <col min="13" max="13" width="18.59765625" bestFit="1" customWidth="1"/>
    <col min="14" max="14" width="27.3984375" bestFit="1" customWidth="1"/>
  </cols>
  <sheetData>
    <row r="1" spans="1:5" ht="25.5" customHeight="1" x14ac:dyDescent="0.15">
      <c r="A1" s="2" t="s">
        <v>77</v>
      </c>
      <c r="B1" s="2" t="s">
        <v>78</v>
      </c>
      <c r="C1" s="2" t="s">
        <v>79</v>
      </c>
      <c r="D1" s="2" t="s">
        <v>80</v>
      </c>
    </row>
    <row r="2" spans="1:5" ht="27.75" customHeight="1" x14ac:dyDescent="0.15">
      <c r="A2" s="3" t="s">
        <v>94</v>
      </c>
      <c r="B2" s="3">
        <v>54</v>
      </c>
      <c r="C2" s="3">
        <v>4</v>
      </c>
      <c r="D2" s="43">
        <v>5</v>
      </c>
    </row>
    <row r="3" spans="1:5" ht="27.75" customHeight="1" x14ac:dyDescent="0.15">
      <c r="A3" s="4"/>
      <c r="B3" s="4"/>
      <c r="C3" s="4"/>
    </row>
    <row r="4" spans="1:5" ht="35.25" customHeight="1" x14ac:dyDescent="0.15">
      <c r="A4" s="5" t="s">
        <v>0</v>
      </c>
      <c r="B4" s="5" t="s">
        <v>1</v>
      </c>
      <c r="C4" s="5" t="s">
        <v>2</v>
      </c>
      <c r="D4" s="5" t="s">
        <v>81</v>
      </c>
      <c r="E4" s="5" t="s">
        <v>82</v>
      </c>
    </row>
    <row r="5" spans="1:5" ht="22.5" customHeight="1" x14ac:dyDescent="0.2">
      <c r="A5" s="6" t="s">
        <v>3</v>
      </c>
      <c r="B5" s="7"/>
      <c r="C5" s="7"/>
      <c r="D5" s="8"/>
      <c r="E5" s="8"/>
    </row>
    <row r="6" spans="1:5" ht="22.5" customHeight="1" x14ac:dyDescent="0.2">
      <c r="A6" s="9" t="s">
        <v>4</v>
      </c>
      <c r="B6" s="7"/>
      <c r="C6" s="7"/>
      <c r="D6" s="8"/>
      <c r="E6" s="8"/>
    </row>
    <row r="7" spans="1:5" ht="22.5" customHeight="1" x14ac:dyDescent="0.15">
      <c r="A7" s="10" t="s">
        <v>97</v>
      </c>
      <c r="B7" s="11" t="s">
        <v>5</v>
      </c>
      <c r="C7" s="39">
        <v>500000</v>
      </c>
      <c r="D7" s="12">
        <v>2</v>
      </c>
      <c r="E7" s="39">
        <f t="shared" ref="E7:E9" si="0">C7*D7</f>
        <v>1000000</v>
      </c>
    </row>
    <row r="8" spans="1:5" ht="22.5" customHeight="1" x14ac:dyDescent="0.15">
      <c r="A8" s="10" t="s">
        <v>98</v>
      </c>
      <c r="B8" s="11" t="s">
        <v>5</v>
      </c>
      <c r="C8" s="39">
        <v>250000</v>
      </c>
      <c r="D8" s="12">
        <v>1</v>
      </c>
      <c r="E8" s="39">
        <f t="shared" si="0"/>
        <v>250000</v>
      </c>
    </row>
    <row r="9" spans="1:5" ht="22.5" customHeight="1" x14ac:dyDescent="0.15">
      <c r="A9" s="10" t="s">
        <v>73</v>
      </c>
      <c r="B9" s="11" t="s">
        <v>5</v>
      </c>
      <c r="C9" s="39">
        <v>560000</v>
      </c>
      <c r="D9" s="12"/>
      <c r="E9" s="39">
        <f t="shared" si="0"/>
        <v>0</v>
      </c>
    </row>
    <row r="10" spans="1:5" ht="22.5" hidden="1" customHeight="1" x14ac:dyDescent="0.15">
      <c r="A10" s="13" t="s">
        <v>6</v>
      </c>
      <c r="B10" s="11" t="s">
        <v>5</v>
      </c>
      <c r="C10" s="39">
        <v>435000</v>
      </c>
      <c r="D10" s="12"/>
      <c r="E10" s="39">
        <f>C10*D10</f>
        <v>0</v>
      </c>
    </row>
    <row r="11" spans="1:5" ht="22.5" hidden="1" customHeight="1" x14ac:dyDescent="0.15">
      <c r="A11" s="13" t="s">
        <v>7</v>
      </c>
      <c r="B11" s="11" t="s">
        <v>5</v>
      </c>
      <c r="C11" s="39">
        <v>300000</v>
      </c>
      <c r="D11" s="12"/>
      <c r="E11" s="39">
        <f t="shared" ref="E11:E74" si="1">C11*D11</f>
        <v>0</v>
      </c>
    </row>
    <row r="12" spans="1:5" ht="22.5" hidden="1" customHeight="1" x14ac:dyDescent="0.15">
      <c r="A12" s="10" t="s">
        <v>52</v>
      </c>
      <c r="B12" s="11" t="s">
        <v>5</v>
      </c>
      <c r="C12" s="39">
        <v>250000</v>
      </c>
      <c r="D12" s="12"/>
      <c r="E12" s="39">
        <f t="shared" si="1"/>
        <v>0</v>
      </c>
    </row>
    <row r="13" spans="1:5" ht="22.5" hidden="1" customHeight="1" x14ac:dyDescent="0.15">
      <c r="A13" s="10" t="s">
        <v>53</v>
      </c>
      <c r="B13" s="11" t="s">
        <v>5</v>
      </c>
      <c r="C13" s="39">
        <v>275000</v>
      </c>
      <c r="D13" s="12"/>
      <c r="E13" s="39">
        <f t="shared" si="1"/>
        <v>0</v>
      </c>
    </row>
    <row r="14" spans="1:5" ht="22.5" hidden="1" customHeight="1" x14ac:dyDescent="0.15">
      <c r="A14" s="10" t="s">
        <v>54</v>
      </c>
      <c r="B14" s="11" t="s">
        <v>5</v>
      </c>
      <c r="C14" s="39">
        <v>450000</v>
      </c>
      <c r="D14" s="12"/>
      <c r="E14" s="39">
        <f t="shared" si="1"/>
        <v>0</v>
      </c>
    </row>
    <row r="15" spans="1:5" ht="22.5" hidden="1" customHeight="1" x14ac:dyDescent="0.15">
      <c r="A15" s="10" t="s">
        <v>55</v>
      </c>
      <c r="B15" s="11" t="s">
        <v>5</v>
      </c>
      <c r="C15" s="39">
        <v>450000</v>
      </c>
      <c r="D15" s="12"/>
      <c r="E15" s="39">
        <f t="shared" si="1"/>
        <v>0</v>
      </c>
    </row>
    <row r="16" spans="1:5" ht="22.5" hidden="1" customHeight="1" x14ac:dyDescent="0.15">
      <c r="A16" s="10" t="s">
        <v>65</v>
      </c>
      <c r="B16" s="11" t="s">
        <v>5</v>
      </c>
      <c r="C16" s="39">
        <v>337500</v>
      </c>
      <c r="D16" s="12"/>
      <c r="E16" s="39">
        <f t="shared" si="1"/>
        <v>0</v>
      </c>
    </row>
    <row r="17" spans="1:14" ht="22.5" hidden="1" customHeight="1" x14ac:dyDescent="0.2">
      <c r="A17" s="10" t="s">
        <v>67</v>
      </c>
      <c r="B17" s="11" t="s">
        <v>5</v>
      </c>
      <c r="C17" s="39">
        <v>375000</v>
      </c>
      <c r="D17" s="12"/>
      <c r="E17" s="39">
        <f t="shared" si="1"/>
        <v>0</v>
      </c>
      <c r="H17" s="36"/>
      <c r="I17" s="37"/>
      <c r="J17" s="37"/>
      <c r="K17" s="38"/>
      <c r="L17" s="38"/>
      <c r="M17" s="38"/>
      <c r="N17" s="38"/>
    </row>
    <row r="18" spans="1:14" ht="22.5" hidden="1" customHeight="1" x14ac:dyDescent="0.2">
      <c r="A18" s="10" t="s">
        <v>66</v>
      </c>
      <c r="B18" s="11" t="s">
        <v>5</v>
      </c>
      <c r="C18" s="39">
        <v>412500</v>
      </c>
      <c r="D18" s="12"/>
      <c r="E18" s="39">
        <f t="shared" si="1"/>
        <v>0</v>
      </c>
      <c r="H18" s="36"/>
      <c r="I18" s="37"/>
      <c r="J18" s="37"/>
      <c r="K18" s="38"/>
      <c r="L18" s="38"/>
      <c r="M18" s="38"/>
      <c r="N18" s="38"/>
    </row>
    <row r="19" spans="1:14" ht="22.5" hidden="1" customHeight="1" x14ac:dyDescent="0.2">
      <c r="A19" s="10" t="s">
        <v>68</v>
      </c>
      <c r="B19" s="11" t="s">
        <v>5</v>
      </c>
      <c r="C19" s="39">
        <v>487500</v>
      </c>
      <c r="D19" s="12"/>
      <c r="E19" s="39">
        <f t="shared" si="1"/>
        <v>0</v>
      </c>
      <c r="H19" s="36"/>
      <c r="I19" s="37"/>
      <c r="J19" s="37"/>
      <c r="K19" s="38"/>
      <c r="L19" s="38"/>
      <c r="M19" s="38"/>
      <c r="N19" s="38"/>
    </row>
    <row r="20" spans="1:14" ht="22.5" hidden="1" customHeight="1" x14ac:dyDescent="0.2">
      <c r="A20" s="10" t="s">
        <v>69</v>
      </c>
      <c r="B20" s="11" t="s">
        <v>5</v>
      </c>
      <c r="C20" s="39">
        <v>562500</v>
      </c>
      <c r="D20" s="12"/>
      <c r="E20" s="39">
        <f t="shared" si="1"/>
        <v>0</v>
      </c>
      <c r="H20" s="36"/>
      <c r="I20" s="37"/>
      <c r="J20" s="37"/>
      <c r="K20" s="38"/>
      <c r="L20" s="38"/>
      <c r="M20" s="38"/>
      <c r="N20" s="38"/>
    </row>
    <row r="21" spans="1:14" ht="22.5" customHeight="1" x14ac:dyDescent="0.2">
      <c r="A21" s="9" t="s">
        <v>8</v>
      </c>
      <c r="B21" s="7"/>
      <c r="C21" s="40"/>
      <c r="D21" s="12"/>
      <c r="E21" s="39"/>
    </row>
    <row r="22" spans="1:14" ht="22.5" customHeight="1" x14ac:dyDescent="0.15">
      <c r="A22" s="10" t="s">
        <v>62</v>
      </c>
      <c r="B22" s="11" t="s">
        <v>5</v>
      </c>
      <c r="C22" s="39">
        <v>750000</v>
      </c>
      <c r="D22" s="12">
        <v>1</v>
      </c>
      <c r="E22" s="39">
        <f t="shared" si="1"/>
        <v>750000</v>
      </c>
    </row>
    <row r="23" spans="1:14" ht="22.5" customHeight="1" x14ac:dyDescent="0.15">
      <c r="A23" s="10" t="s">
        <v>63</v>
      </c>
      <c r="B23" s="11" t="s">
        <v>5</v>
      </c>
      <c r="C23" s="39">
        <v>950000</v>
      </c>
      <c r="D23" s="12">
        <v>1</v>
      </c>
      <c r="E23" s="39">
        <f t="shared" si="1"/>
        <v>950000</v>
      </c>
    </row>
    <row r="24" spans="1:14" ht="22.5" customHeight="1" x14ac:dyDescent="0.15">
      <c r="A24" s="10" t="s">
        <v>64</v>
      </c>
      <c r="B24" s="11" t="s">
        <v>5</v>
      </c>
      <c r="C24" s="39">
        <v>300000</v>
      </c>
      <c r="D24" s="12"/>
      <c r="E24" s="39">
        <f t="shared" si="1"/>
        <v>0</v>
      </c>
    </row>
    <row r="25" spans="1:14" ht="22.5" customHeight="1" x14ac:dyDescent="0.2">
      <c r="A25" s="9" t="s">
        <v>9</v>
      </c>
      <c r="B25" s="7"/>
      <c r="C25" s="40"/>
      <c r="D25" s="12"/>
      <c r="E25" s="39">
        <f t="shared" si="1"/>
        <v>0</v>
      </c>
    </row>
    <row r="26" spans="1:14" ht="22.5" customHeight="1" x14ac:dyDescent="0.15">
      <c r="A26" s="10" t="s">
        <v>56</v>
      </c>
      <c r="B26" s="11" t="s">
        <v>5</v>
      </c>
      <c r="C26" s="39">
        <v>425000</v>
      </c>
      <c r="D26" s="12"/>
      <c r="E26" s="39">
        <f t="shared" si="1"/>
        <v>0</v>
      </c>
    </row>
    <row r="27" spans="1:14" ht="22.5" customHeight="1" x14ac:dyDescent="0.15">
      <c r="A27" s="10" t="s">
        <v>10</v>
      </c>
      <c r="B27" s="11" t="s">
        <v>5</v>
      </c>
      <c r="C27" s="39">
        <v>260000</v>
      </c>
      <c r="D27" s="12">
        <v>1</v>
      </c>
      <c r="E27" s="39">
        <f t="shared" si="1"/>
        <v>260000</v>
      </c>
    </row>
    <row r="28" spans="1:14" ht="22.5" customHeight="1" x14ac:dyDescent="0.15">
      <c r="A28" s="10" t="s">
        <v>11</v>
      </c>
      <c r="B28" s="11" t="s">
        <v>5</v>
      </c>
      <c r="C28" s="39">
        <v>300000</v>
      </c>
      <c r="D28" s="12"/>
      <c r="E28" s="39">
        <f t="shared" si="1"/>
        <v>0</v>
      </c>
    </row>
    <row r="29" spans="1:14" ht="22.5" customHeight="1" x14ac:dyDescent="0.15">
      <c r="A29" s="13" t="s">
        <v>12</v>
      </c>
      <c r="B29" s="11" t="s">
        <v>5</v>
      </c>
      <c r="C29" s="39">
        <v>316000</v>
      </c>
      <c r="D29" s="12"/>
      <c r="E29" s="39">
        <f t="shared" si="1"/>
        <v>0</v>
      </c>
    </row>
    <row r="30" spans="1:14" ht="22.5" customHeight="1" x14ac:dyDescent="0.15">
      <c r="A30" s="13" t="s">
        <v>13</v>
      </c>
      <c r="B30" s="11" t="s">
        <v>5</v>
      </c>
      <c r="C30" s="39">
        <v>380000</v>
      </c>
      <c r="D30" s="12"/>
      <c r="E30" s="39">
        <f t="shared" si="1"/>
        <v>0</v>
      </c>
    </row>
    <row r="31" spans="1:14" ht="22.5" customHeight="1" x14ac:dyDescent="0.15">
      <c r="A31" s="13" t="s">
        <v>14</v>
      </c>
      <c r="B31" s="11" t="s">
        <v>5</v>
      </c>
      <c r="C31" s="39">
        <v>440000</v>
      </c>
      <c r="D31" s="12">
        <v>1</v>
      </c>
      <c r="E31" s="39">
        <f t="shared" si="1"/>
        <v>440000</v>
      </c>
    </row>
    <row r="32" spans="1:14" ht="22.5" customHeight="1" x14ac:dyDescent="0.2">
      <c r="A32" s="6" t="s">
        <v>15</v>
      </c>
      <c r="B32" s="7"/>
      <c r="C32" s="40"/>
      <c r="D32" s="12"/>
      <c r="E32" s="39">
        <f t="shared" si="1"/>
        <v>0</v>
      </c>
    </row>
    <row r="33" spans="1:5" ht="22.5" customHeight="1" x14ac:dyDescent="0.2">
      <c r="A33" s="9" t="s">
        <v>16</v>
      </c>
      <c r="B33" s="7"/>
      <c r="C33" s="40"/>
      <c r="D33" s="12"/>
      <c r="E33" s="39">
        <f t="shared" si="1"/>
        <v>0</v>
      </c>
    </row>
    <row r="34" spans="1:5" ht="22.5" customHeight="1" x14ac:dyDescent="0.15">
      <c r="A34" s="10" t="s">
        <v>60</v>
      </c>
      <c r="B34" s="11" t="s">
        <v>17</v>
      </c>
      <c r="C34" s="39">
        <v>75000</v>
      </c>
      <c r="D34" s="12">
        <f>$D$2</f>
        <v>5</v>
      </c>
      <c r="E34" s="39">
        <f t="shared" si="1"/>
        <v>375000</v>
      </c>
    </row>
    <row r="35" spans="1:5" ht="22.5" customHeight="1" x14ac:dyDescent="0.15">
      <c r="A35" s="13" t="s">
        <v>18</v>
      </c>
      <c r="B35" s="11" t="s">
        <v>17</v>
      </c>
      <c r="C35" s="39">
        <v>55000</v>
      </c>
      <c r="D35" s="12"/>
      <c r="E35" s="39">
        <f t="shared" si="1"/>
        <v>0</v>
      </c>
    </row>
    <row r="36" spans="1:5" ht="22.5" customHeight="1" x14ac:dyDescent="0.15">
      <c r="A36" s="10" t="s">
        <v>19</v>
      </c>
      <c r="B36" s="11" t="s">
        <v>17</v>
      </c>
      <c r="C36" s="39">
        <v>25000</v>
      </c>
      <c r="D36" s="12">
        <f>$D$2</f>
        <v>5</v>
      </c>
      <c r="E36" s="39">
        <f t="shared" si="1"/>
        <v>125000</v>
      </c>
    </row>
    <row r="37" spans="1:5" ht="22.5" customHeight="1" x14ac:dyDescent="0.15">
      <c r="A37" s="10" t="s">
        <v>76</v>
      </c>
      <c r="B37" s="11" t="s">
        <v>5</v>
      </c>
      <c r="C37" s="39">
        <v>250000</v>
      </c>
      <c r="D37" s="12">
        <v>1</v>
      </c>
      <c r="E37" s="39">
        <f t="shared" si="1"/>
        <v>250000</v>
      </c>
    </row>
    <row r="38" spans="1:5" ht="22.5" customHeight="1" x14ac:dyDescent="0.15">
      <c r="A38" s="13" t="s">
        <v>95</v>
      </c>
      <c r="B38" s="11" t="s">
        <v>17</v>
      </c>
      <c r="C38" s="39">
        <v>65000</v>
      </c>
      <c r="D38" s="12"/>
      <c r="E38" s="39">
        <f t="shared" si="1"/>
        <v>0</v>
      </c>
    </row>
    <row r="39" spans="1:5" ht="22.5" customHeight="1" x14ac:dyDescent="0.15">
      <c r="A39" s="13" t="s">
        <v>96</v>
      </c>
      <c r="B39" s="11" t="s">
        <v>17</v>
      </c>
      <c r="C39" s="39">
        <v>65000</v>
      </c>
      <c r="D39" s="12"/>
      <c r="E39" s="39">
        <f t="shared" si="1"/>
        <v>0</v>
      </c>
    </row>
    <row r="40" spans="1:5" ht="22.5" customHeight="1" x14ac:dyDescent="0.15">
      <c r="A40" s="10" t="s">
        <v>57</v>
      </c>
      <c r="B40" s="11" t="s">
        <v>17</v>
      </c>
      <c r="C40" s="39">
        <v>60000</v>
      </c>
      <c r="D40" s="12">
        <f>D2</f>
        <v>5</v>
      </c>
      <c r="E40" s="39">
        <f t="shared" si="1"/>
        <v>300000</v>
      </c>
    </row>
    <row r="41" spans="1:5" ht="22.5" customHeight="1" x14ac:dyDescent="0.15">
      <c r="A41" s="10" t="s">
        <v>58</v>
      </c>
      <c r="B41" s="11" t="s">
        <v>17</v>
      </c>
      <c r="C41" s="39">
        <v>60000</v>
      </c>
      <c r="D41" s="12"/>
      <c r="E41" s="39">
        <f t="shared" si="1"/>
        <v>0</v>
      </c>
    </row>
    <row r="42" spans="1:5" ht="22.5" customHeight="1" x14ac:dyDescent="0.15">
      <c r="A42" s="13" t="s">
        <v>20</v>
      </c>
      <c r="B42" s="11" t="s">
        <v>5</v>
      </c>
      <c r="C42" s="39">
        <v>35000</v>
      </c>
      <c r="D42" s="12"/>
      <c r="E42" s="39">
        <f t="shared" si="1"/>
        <v>0</v>
      </c>
    </row>
    <row r="43" spans="1:5" ht="22.5" customHeight="1" x14ac:dyDescent="0.2">
      <c r="A43" s="9" t="s">
        <v>21</v>
      </c>
      <c r="B43" s="7"/>
      <c r="C43" s="41"/>
      <c r="D43" s="12"/>
      <c r="E43" s="39"/>
    </row>
    <row r="44" spans="1:5" ht="22.5" customHeight="1" x14ac:dyDescent="0.15">
      <c r="A44" s="10" t="s">
        <v>59</v>
      </c>
      <c r="B44" s="11" t="s">
        <v>17</v>
      </c>
      <c r="C44" s="39">
        <v>160000</v>
      </c>
      <c r="D44" s="12">
        <f>D2</f>
        <v>5</v>
      </c>
      <c r="E44" s="39">
        <f t="shared" si="1"/>
        <v>800000</v>
      </c>
    </row>
    <row r="45" spans="1:5" ht="22.5" customHeight="1" x14ac:dyDescent="0.15">
      <c r="A45" s="13" t="s">
        <v>22</v>
      </c>
      <c r="B45" s="11" t="s">
        <v>17</v>
      </c>
      <c r="C45" s="39">
        <v>500000</v>
      </c>
      <c r="D45" s="12">
        <f>ROUNDUP(D2/4,0)</f>
        <v>2</v>
      </c>
      <c r="E45" s="39">
        <f t="shared" si="1"/>
        <v>1000000</v>
      </c>
    </row>
    <row r="46" spans="1:5" ht="22.5" customHeight="1" x14ac:dyDescent="0.2">
      <c r="A46" s="9" t="s">
        <v>23</v>
      </c>
      <c r="B46" s="7"/>
      <c r="C46" s="41"/>
      <c r="D46" s="12"/>
      <c r="E46" s="39">
        <f t="shared" si="1"/>
        <v>0</v>
      </c>
    </row>
    <row r="47" spans="1:5" ht="22.5" customHeight="1" x14ac:dyDescent="0.15">
      <c r="A47" s="13" t="s">
        <v>24</v>
      </c>
      <c r="B47" s="11" t="s">
        <v>17</v>
      </c>
      <c r="C47" s="39">
        <v>150000</v>
      </c>
      <c r="D47" s="12">
        <f>D2</f>
        <v>5</v>
      </c>
      <c r="E47" s="39">
        <f t="shared" si="1"/>
        <v>750000</v>
      </c>
    </row>
    <row r="48" spans="1:5" ht="22.5" customHeight="1" x14ac:dyDescent="0.15">
      <c r="A48" s="10" t="s">
        <v>75</v>
      </c>
      <c r="B48" s="11" t="s">
        <v>5</v>
      </c>
      <c r="C48" s="39">
        <v>200000</v>
      </c>
      <c r="D48" s="12">
        <v>1</v>
      </c>
      <c r="E48" s="39">
        <f t="shared" si="1"/>
        <v>200000</v>
      </c>
    </row>
    <row r="49" spans="1:5" ht="22.5" customHeight="1" x14ac:dyDescent="0.15">
      <c r="A49" s="13" t="s">
        <v>25</v>
      </c>
      <c r="B49" s="11" t="s">
        <v>17</v>
      </c>
      <c r="C49" s="39">
        <v>50000</v>
      </c>
      <c r="D49" s="12">
        <f>D2</f>
        <v>5</v>
      </c>
      <c r="E49" s="39">
        <f t="shared" si="1"/>
        <v>250000</v>
      </c>
    </row>
    <row r="50" spans="1:5" ht="22.5" customHeight="1" x14ac:dyDescent="0.15">
      <c r="A50" s="13" t="s">
        <v>26</v>
      </c>
      <c r="B50" s="11" t="s">
        <v>17</v>
      </c>
      <c r="C50" s="39">
        <v>40000</v>
      </c>
      <c r="D50" s="12">
        <f>$D$2</f>
        <v>5</v>
      </c>
      <c r="E50" s="39">
        <f t="shared" si="1"/>
        <v>200000</v>
      </c>
    </row>
    <row r="51" spans="1:5" ht="22.5" customHeight="1" x14ac:dyDescent="0.2">
      <c r="A51" s="16" t="s">
        <v>27</v>
      </c>
      <c r="B51" s="7"/>
      <c r="C51" s="40"/>
      <c r="D51" s="12"/>
      <c r="E51" s="39"/>
    </row>
    <row r="52" spans="1:5" ht="22.5" customHeight="1" x14ac:dyDescent="0.2">
      <c r="A52" s="9" t="s">
        <v>28</v>
      </c>
      <c r="B52" s="7"/>
      <c r="C52" s="40"/>
      <c r="D52" s="12"/>
      <c r="E52" s="39"/>
    </row>
    <row r="53" spans="1:5" ht="22.5" customHeight="1" x14ac:dyDescent="0.15">
      <c r="A53" s="13" t="s">
        <v>29</v>
      </c>
      <c r="B53" s="11" t="s">
        <v>30</v>
      </c>
      <c r="C53" s="39">
        <v>450000</v>
      </c>
      <c r="D53" s="12">
        <f>IF($D$2=1,$C$2, IF($D$2=2,$C$2,0))</f>
        <v>0</v>
      </c>
      <c r="E53" s="39">
        <f t="shared" si="1"/>
        <v>0</v>
      </c>
    </row>
    <row r="54" spans="1:5" ht="22.5" customHeight="1" x14ac:dyDescent="0.15">
      <c r="A54" s="13" t="s">
        <v>31</v>
      </c>
      <c r="B54" s="11" t="s">
        <v>30</v>
      </c>
      <c r="C54" s="39">
        <v>550000</v>
      </c>
      <c r="D54" s="12">
        <f>IF($D$2=3,$C$2, 0)</f>
        <v>0</v>
      </c>
      <c r="E54" s="39">
        <f t="shared" si="1"/>
        <v>0</v>
      </c>
    </row>
    <row r="55" spans="1:5" ht="22.5" customHeight="1" x14ac:dyDescent="0.15">
      <c r="A55" s="10" t="s">
        <v>32</v>
      </c>
      <c r="B55" s="11" t="s">
        <v>30</v>
      </c>
      <c r="C55" s="39">
        <v>1100000</v>
      </c>
      <c r="D55" s="12">
        <f>IF((($D$2&gt;=4)*($D$2&lt;=11))=1,$C$2,0)</f>
        <v>4</v>
      </c>
      <c r="E55" s="39">
        <f t="shared" si="1"/>
        <v>4400000</v>
      </c>
    </row>
    <row r="56" spans="1:5" ht="22.5" customHeight="1" x14ac:dyDescent="0.15">
      <c r="A56" s="13" t="s">
        <v>33</v>
      </c>
      <c r="B56" s="11" t="s">
        <v>30</v>
      </c>
      <c r="C56" s="39">
        <v>1300000</v>
      </c>
      <c r="D56" s="12"/>
      <c r="E56" s="39">
        <f t="shared" si="1"/>
        <v>0</v>
      </c>
    </row>
    <row r="57" spans="1:5" ht="22.5" customHeight="1" x14ac:dyDescent="0.15">
      <c r="A57" s="10" t="s">
        <v>91</v>
      </c>
      <c r="B57" s="11" t="s">
        <v>30</v>
      </c>
      <c r="C57" s="39">
        <v>650000</v>
      </c>
      <c r="D57" s="12">
        <f>IF((($D$2&gt;=10)*($D$2&lt;=11))=1,1,0)</f>
        <v>0</v>
      </c>
      <c r="E57" s="39">
        <f t="shared" si="1"/>
        <v>0</v>
      </c>
    </row>
    <row r="58" spans="1:5" ht="22.5" customHeight="1" x14ac:dyDescent="0.2">
      <c r="A58" s="9" t="s">
        <v>34</v>
      </c>
      <c r="B58" s="7"/>
      <c r="C58" s="40"/>
      <c r="D58" s="12"/>
      <c r="E58" s="39"/>
    </row>
    <row r="59" spans="1:5" ht="22.5" customHeight="1" x14ac:dyDescent="0.15">
      <c r="A59" s="13" t="s">
        <v>35</v>
      </c>
      <c r="B59" s="11" t="s">
        <v>5</v>
      </c>
      <c r="C59" s="39">
        <v>200000</v>
      </c>
      <c r="D59" s="12">
        <f>IF((($D$2&gt;=10)*($D$2&lt;=11))=1,2,1)</f>
        <v>1</v>
      </c>
      <c r="E59" s="39">
        <f t="shared" si="1"/>
        <v>200000</v>
      </c>
    </row>
    <row r="60" spans="1:5" ht="22.5" customHeight="1" x14ac:dyDescent="0.15">
      <c r="A60" s="10" t="s">
        <v>70</v>
      </c>
      <c r="B60" s="11" t="s">
        <v>5</v>
      </c>
      <c r="C60" s="39">
        <v>300000</v>
      </c>
      <c r="D60" s="12"/>
      <c r="E60" s="39">
        <f t="shared" si="1"/>
        <v>0</v>
      </c>
    </row>
    <row r="61" spans="1:5" ht="22.5" customHeight="1" x14ac:dyDescent="0.2">
      <c r="A61" s="9" t="s">
        <v>36</v>
      </c>
      <c r="B61" s="7"/>
      <c r="C61" s="40"/>
      <c r="D61" s="12"/>
      <c r="E61" s="39">
        <f t="shared" si="1"/>
        <v>0</v>
      </c>
    </row>
    <row r="62" spans="1:5" ht="22.5" customHeight="1" x14ac:dyDescent="0.15">
      <c r="A62" s="13" t="s">
        <v>37</v>
      </c>
      <c r="B62" s="11" t="s">
        <v>38</v>
      </c>
      <c r="C62" s="39">
        <v>200000</v>
      </c>
      <c r="D62" s="12"/>
      <c r="E62" s="39">
        <f t="shared" si="1"/>
        <v>0</v>
      </c>
    </row>
    <row r="63" spans="1:5" ht="22.5" customHeight="1" x14ac:dyDescent="0.2">
      <c r="A63" s="15" t="s">
        <v>74</v>
      </c>
      <c r="B63" s="7"/>
      <c r="C63" s="40"/>
      <c r="D63" s="12"/>
      <c r="E63" s="39">
        <f t="shared" si="1"/>
        <v>0</v>
      </c>
    </row>
    <row r="64" spans="1:5" ht="22.5" customHeight="1" x14ac:dyDescent="0.15">
      <c r="A64" s="10" t="s">
        <v>92</v>
      </c>
      <c r="B64" s="11" t="s">
        <v>38</v>
      </c>
      <c r="C64" s="39">
        <v>700000</v>
      </c>
      <c r="D64" s="12">
        <f>IF((($D$2&gt;=1)*($D$2&lt;=3))=1,1,0)</f>
        <v>0</v>
      </c>
      <c r="E64" s="39">
        <f t="shared" si="1"/>
        <v>0</v>
      </c>
    </row>
    <row r="65" spans="1:5" ht="22.5" customHeight="1" x14ac:dyDescent="0.15">
      <c r="A65" s="10" t="s">
        <v>93</v>
      </c>
      <c r="B65" s="11" t="s">
        <v>38</v>
      </c>
      <c r="C65" s="39">
        <v>1100000</v>
      </c>
      <c r="D65" s="12">
        <f>IF((($D$2&gt;=4)*($D$2&lt;=11))=1,1,0)</f>
        <v>1</v>
      </c>
      <c r="E65" s="39">
        <f t="shared" si="1"/>
        <v>1100000</v>
      </c>
    </row>
    <row r="66" spans="1:5" ht="22.5" customHeight="1" x14ac:dyDescent="0.2">
      <c r="A66" s="16" t="s">
        <v>39</v>
      </c>
      <c r="B66" s="7"/>
      <c r="C66" s="40"/>
      <c r="D66" s="12"/>
      <c r="E66" s="39">
        <f t="shared" si="1"/>
        <v>0</v>
      </c>
    </row>
    <row r="67" spans="1:5" ht="22.5" customHeight="1" x14ac:dyDescent="0.2">
      <c r="A67" s="9" t="s">
        <v>40</v>
      </c>
      <c r="B67" s="7"/>
      <c r="C67" s="40"/>
      <c r="D67" s="12"/>
      <c r="E67" s="39">
        <f t="shared" si="1"/>
        <v>0</v>
      </c>
    </row>
    <row r="68" spans="1:5" ht="22.5" customHeight="1" x14ac:dyDescent="0.15">
      <c r="A68" s="13" t="s">
        <v>41</v>
      </c>
      <c r="B68" s="11" t="s">
        <v>30</v>
      </c>
      <c r="C68" s="39">
        <v>250000</v>
      </c>
      <c r="D68" s="12">
        <f>IF((($D$2&gt;=1)*($D$2&lt;=3))=1,$C$2,0)</f>
        <v>0</v>
      </c>
      <c r="E68" s="39">
        <f t="shared" si="1"/>
        <v>0</v>
      </c>
    </row>
    <row r="69" spans="1:5" ht="22.5" customHeight="1" x14ac:dyDescent="0.15">
      <c r="A69" s="10" t="s">
        <v>71</v>
      </c>
      <c r="B69" s="11" t="s">
        <v>30</v>
      </c>
      <c r="C69" s="39">
        <v>250000</v>
      </c>
      <c r="D69" s="12">
        <f>IF((($D$2&gt;=4)*($D$2&lt;=11))=1,$C$2,0)</f>
        <v>4</v>
      </c>
      <c r="E69" s="39">
        <f t="shared" si="1"/>
        <v>1000000</v>
      </c>
    </row>
    <row r="70" spans="1:5" ht="22.5" customHeight="1" x14ac:dyDescent="0.15">
      <c r="A70" s="10" t="s">
        <v>72</v>
      </c>
      <c r="B70" s="11" t="s">
        <v>30</v>
      </c>
      <c r="C70" s="39">
        <v>200000</v>
      </c>
      <c r="D70" s="12"/>
      <c r="E70" s="39">
        <f t="shared" si="1"/>
        <v>0</v>
      </c>
    </row>
    <row r="71" spans="1:5" ht="22.5" customHeight="1" x14ac:dyDescent="0.2">
      <c r="A71" s="16" t="s">
        <v>42</v>
      </c>
      <c r="B71" s="7"/>
      <c r="C71" s="40"/>
      <c r="D71" s="12"/>
      <c r="E71" s="39">
        <f t="shared" si="1"/>
        <v>0</v>
      </c>
    </row>
    <row r="72" spans="1:5" ht="22.5" customHeight="1" x14ac:dyDescent="0.2">
      <c r="A72" s="9" t="s">
        <v>43</v>
      </c>
      <c r="B72" s="7"/>
      <c r="C72" s="40"/>
      <c r="D72" s="12"/>
      <c r="E72" s="39">
        <f t="shared" si="1"/>
        <v>0</v>
      </c>
    </row>
    <row r="73" spans="1:5" ht="22.5" customHeight="1" x14ac:dyDescent="0.15">
      <c r="A73" s="13" t="s">
        <v>44</v>
      </c>
      <c r="B73" s="11" t="s">
        <v>83</v>
      </c>
      <c r="C73" s="39">
        <v>50000</v>
      </c>
      <c r="D73" s="12">
        <f>ROUNDUP(D2*C2*$C$2/24,0)</f>
        <v>4</v>
      </c>
      <c r="E73" s="39">
        <f t="shared" si="1"/>
        <v>200000</v>
      </c>
    </row>
    <row r="74" spans="1:5" ht="22.5" customHeight="1" x14ac:dyDescent="0.15">
      <c r="A74" s="13" t="s">
        <v>46</v>
      </c>
      <c r="B74" s="11" t="s">
        <v>45</v>
      </c>
      <c r="C74" s="39">
        <v>100000</v>
      </c>
      <c r="D74" s="12">
        <v>1</v>
      </c>
      <c r="E74" s="39">
        <f t="shared" si="1"/>
        <v>100000</v>
      </c>
    </row>
    <row r="75" spans="1:5" ht="22.5" customHeight="1" x14ac:dyDescent="0.15">
      <c r="A75" s="13" t="s">
        <v>47</v>
      </c>
      <c r="B75" s="11" t="s">
        <v>17</v>
      </c>
      <c r="C75" s="39">
        <v>60000</v>
      </c>
      <c r="D75" s="12">
        <f>D2</f>
        <v>5</v>
      </c>
      <c r="E75" s="39">
        <f t="shared" ref="E75:E79" si="2">C75*D75</f>
        <v>300000</v>
      </c>
    </row>
    <row r="76" spans="1:5" ht="22.5" customHeight="1" x14ac:dyDescent="0.2">
      <c r="A76" s="9" t="s">
        <v>48</v>
      </c>
      <c r="B76" s="7"/>
      <c r="C76" s="14"/>
      <c r="D76" s="12"/>
      <c r="E76" s="39">
        <f t="shared" si="2"/>
        <v>0</v>
      </c>
    </row>
    <row r="77" spans="1:5" ht="22.5" customHeight="1" x14ac:dyDescent="0.15">
      <c r="A77" s="13" t="s">
        <v>49</v>
      </c>
      <c r="B77" s="11" t="s">
        <v>38</v>
      </c>
      <c r="C77" s="12">
        <v>2000000</v>
      </c>
      <c r="D77" s="12"/>
      <c r="E77" s="39">
        <f t="shared" si="2"/>
        <v>0</v>
      </c>
    </row>
    <row r="78" spans="1:5" ht="22.5" customHeight="1" x14ac:dyDescent="0.2">
      <c r="A78" s="9" t="s">
        <v>50</v>
      </c>
      <c r="B78" s="7"/>
      <c r="C78" s="14"/>
      <c r="D78" s="12"/>
      <c r="E78" s="39">
        <f t="shared" si="2"/>
        <v>0</v>
      </c>
    </row>
    <row r="79" spans="1:5" ht="22.5" customHeight="1" x14ac:dyDescent="0.15">
      <c r="A79" s="13" t="s">
        <v>51</v>
      </c>
      <c r="B79" s="11" t="s">
        <v>17</v>
      </c>
      <c r="C79" s="12">
        <v>16000</v>
      </c>
      <c r="D79" s="12">
        <f>D2</f>
        <v>5</v>
      </c>
      <c r="E79" s="39">
        <f t="shared" si="2"/>
        <v>80000</v>
      </c>
    </row>
    <row r="80" spans="1:5" ht="22.5" customHeight="1" x14ac:dyDescent="0.15">
      <c r="A80" s="10" t="s">
        <v>61</v>
      </c>
      <c r="B80" s="11" t="s">
        <v>5</v>
      </c>
      <c r="C80" s="12">
        <v>100000</v>
      </c>
      <c r="D80" s="12">
        <v>1</v>
      </c>
      <c r="E80" s="39">
        <f>C80*D80</f>
        <v>100000</v>
      </c>
    </row>
    <row r="81" spans="1:5" s="1" customFormat="1" ht="30" customHeight="1" x14ac:dyDescent="0.15">
      <c r="A81" s="18" t="s">
        <v>84</v>
      </c>
      <c r="B81" s="17"/>
      <c r="C81" s="5"/>
      <c r="D81" s="12"/>
      <c r="E81" s="42">
        <f>SUM(E7:E80)</f>
        <v>15380000</v>
      </c>
    </row>
    <row r="82" spans="1:5" ht="36" customHeight="1" x14ac:dyDescent="0.15">
      <c r="A82" s="18" t="s">
        <v>88</v>
      </c>
      <c r="B82" s="8"/>
      <c r="C82" s="8"/>
      <c r="D82" s="8"/>
      <c r="E82" s="42">
        <f>E81/D2</f>
        <v>3076000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BEED6-1720-4005-B25E-195AE43497B6}">
  <sheetPr>
    <pageSetUpPr fitToPage="1"/>
  </sheetPr>
  <dimension ref="A1:N82"/>
  <sheetViews>
    <sheetView topLeftCell="A57" zoomScale="70" zoomScaleNormal="70" workbookViewId="0">
      <selection activeCell="D3" sqref="D3"/>
    </sheetView>
  </sheetViews>
  <sheetFormatPr baseColWidth="10" defaultColWidth="9" defaultRowHeight="13" x14ac:dyDescent="0.15"/>
  <cols>
    <col min="1" max="1" width="103.19921875" bestFit="1" customWidth="1"/>
    <col min="2" max="2" width="23.19921875" customWidth="1"/>
    <col min="3" max="3" width="29.19921875" customWidth="1"/>
    <col min="4" max="4" width="24.19921875" customWidth="1"/>
    <col min="5" max="5" width="25.3984375" customWidth="1"/>
    <col min="8" max="8" width="7" bestFit="1" customWidth="1"/>
    <col min="9" max="10" width="20.796875" bestFit="1" customWidth="1"/>
    <col min="11" max="11" width="18.59765625" bestFit="1" customWidth="1"/>
    <col min="12" max="12" width="20.3984375" bestFit="1" customWidth="1"/>
    <col min="13" max="13" width="18.59765625" bestFit="1" customWidth="1"/>
    <col min="14" max="14" width="27.3984375" bestFit="1" customWidth="1"/>
  </cols>
  <sheetData>
    <row r="1" spans="1:5" ht="25.5" customHeight="1" x14ac:dyDescent="0.15">
      <c r="A1" s="2" t="s">
        <v>77</v>
      </c>
      <c r="B1" s="2" t="s">
        <v>78</v>
      </c>
      <c r="C1" s="2" t="s">
        <v>79</v>
      </c>
      <c r="D1" s="2" t="s">
        <v>80</v>
      </c>
    </row>
    <row r="2" spans="1:5" ht="27.75" customHeight="1" x14ac:dyDescent="0.15">
      <c r="A2" s="3" t="s">
        <v>94</v>
      </c>
      <c r="B2" s="3">
        <v>54</v>
      </c>
      <c r="C2" s="3">
        <v>4</v>
      </c>
      <c r="D2" s="43">
        <v>6</v>
      </c>
    </row>
    <row r="3" spans="1:5" ht="27.75" customHeight="1" x14ac:dyDescent="0.15">
      <c r="A3" s="4"/>
      <c r="B3" s="4"/>
      <c r="C3" s="4"/>
    </row>
    <row r="4" spans="1:5" ht="35.25" customHeight="1" x14ac:dyDescent="0.15">
      <c r="A4" s="5" t="s">
        <v>0</v>
      </c>
      <c r="B4" s="5" t="s">
        <v>1</v>
      </c>
      <c r="C4" s="5" t="s">
        <v>2</v>
      </c>
      <c r="D4" s="5" t="s">
        <v>81</v>
      </c>
      <c r="E4" s="5" t="s">
        <v>82</v>
      </c>
    </row>
    <row r="5" spans="1:5" ht="22.5" customHeight="1" x14ac:dyDescent="0.2">
      <c r="A5" s="6" t="s">
        <v>3</v>
      </c>
      <c r="B5" s="7"/>
      <c r="C5" s="7"/>
      <c r="D5" s="8"/>
      <c r="E5" s="8"/>
    </row>
    <row r="6" spans="1:5" ht="22.5" customHeight="1" x14ac:dyDescent="0.2">
      <c r="A6" s="9" t="s">
        <v>4</v>
      </c>
      <c r="B6" s="7"/>
      <c r="C6" s="7"/>
      <c r="D6" s="8"/>
      <c r="E6" s="8"/>
    </row>
    <row r="7" spans="1:5" ht="22.5" customHeight="1" x14ac:dyDescent="0.15">
      <c r="A7" s="10" t="s">
        <v>97</v>
      </c>
      <c r="B7" s="11" t="s">
        <v>5</v>
      </c>
      <c r="C7" s="39">
        <v>500000</v>
      </c>
      <c r="D7" s="12">
        <f>ROUNDUP($D$2/2,0)</f>
        <v>3</v>
      </c>
      <c r="E7" s="39">
        <f t="shared" ref="E7:E9" si="0">C7*D7</f>
        <v>1500000</v>
      </c>
    </row>
    <row r="8" spans="1:5" ht="22.5" customHeight="1" x14ac:dyDescent="0.15">
      <c r="A8" s="10" t="s">
        <v>98</v>
      </c>
      <c r="B8" s="11" t="s">
        <v>5</v>
      </c>
      <c r="C8" s="39">
        <v>250000</v>
      </c>
      <c r="D8" s="12"/>
      <c r="E8" s="39">
        <f t="shared" si="0"/>
        <v>0</v>
      </c>
    </row>
    <row r="9" spans="1:5" ht="22.5" customHeight="1" x14ac:dyDescent="0.15">
      <c r="A9" s="10" t="s">
        <v>73</v>
      </c>
      <c r="B9" s="11" t="s">
        <v>5</v>
      </c>
      <c r="C9" s="39">
        <v>560000</v>
      </c>
      <c r="D9" s="12"/>
      <c r="E9" s="39">
        <f t="shared" si="0"/>
        <v>0</v>
      </c>
    </row>
    <row r="10" spans="1:5" ht="22.5" hidden="1" customHeight="1" x14ac:dyDescent="0.15">
      <c r="A10" s="13" t="s">
        <v>6</v>
      </c>
      <c r="B10" s="11" t="s">
        <v>5</v>
      </c>
      <c r="C10" s="39">
        <v>435000</v>
      </c>
      <c r="D10" s="12"/>
      <c r="E10" s="39">
        <f>C10*D10</f>
        <v>0</v>
      </c>
    </row>
    <row r="11" spans="1:5" ht="22.5" hidden="1" customHeight="1" x14ac:dyDescent="0.15">
      <c r="A11" s="13" t="s">
        <v>7</v>
      </c>
      <c r="B11" s="11" t="s">
        <v>5</v>
      </c>
      <c r="C11" s="39">
        <v>300000</v>
      </c>
      <c r="D11" s="12"/>
      <c r="E11" s="39">
        <f t="shared" ref="E11:E74" si="1">C11*D11</f>
        <v>0</v>
      </c>
    </row>
    <row r="12" spans="1:5" ht="22.5" hidden="1" customHeight="1" x14ac:dyDescent="0.15">
      <c r="A12" s="10" t="s">
        <v>52</v>
      </c>
      <c r="B12" s="11" t="s">
        <v>5</v>
      </c>
      <c r="C12" s="39">
        <v>250000</v>
      </c>
      <c r="D12" s="12"/>
      <c r="E12" s="39">
        <f t="shared" si="1"/>
        <v>0</v>
      </c>
    </row>
    <row r="13" spans="1:5" ht="22.5" hidden="1" customHeight="1" x14ac:dyDescent="0.15">
      <c r="A13" s="10" t="s">
        <v>53</v>
      </c>
      <c r="B13" s="11" t="s">
        <v>5</v>
      </c>
      <c r="C13" s="39">
        <v>275000</v>
      </c>
      <c r="D13" s="12"/>
      <c r="E13" s="39">
        <f t="shared" si="1"/>
        <v>0</v>
      </c>
    </row>
    <row r="14" spans="1:5" ht="22.5" hidden="1" customHeight="1" x14ac:dyDescent="0.15">
      <c r="A14" s="10" t="s">
        <v>54</v>
      </c>
      <c r="B14" s="11" t="s">
        <v>5</v>
      </c>
      <c r="C14" s="39">
        <v>450000</v>
      </c>
      <c r="D14" s="12"/>
      <c r="E14" s="39">
        <f t="shared" si="1"/>
        <v>0</v>
      </c>
    </row>
    <row r="15" spans="1:5" ht="22.5" hidden="1" customHeight="1" x14ac:dyDescent="0.15">
      <c r="A15" s="10" t="s">
        <v>55</v>
      </c>
      <c r="B15" s="11" t="s">
        <v>5</v>
      </c>
      <c r="C15" s="39">
        <v>450000</v>
      </c>
      <c r="D15" s="12"/>
      <c r="E15" s="39">
        <f t="shared" si="1"/>
        <v>0</v>
      </c>
    </row>
    <row r="16" spans="1:5" ht="22.5" hidden="1" customHeight="1" x14ac:dyDescent="0.15">
      <c r="A16" s="10" t="s">
        <v>65</v>
      </c>
      <c r="B16" s="11" t="s">
        <v>5</v>
      </c>
      <c r="C16" s="39">
        <v>337500</v>
      </c>
      <c r="D16" s="12"/>
      <c r="E16" s="39">
        <f t="shared" si="1"/>
        <v>0</v>
      </c>
    </row>
    <row r="17" spans="1:14" ht="22.5" hidden="1" customHeight="1" x14ac:dyDescent="0.2">
      <c r="A17" s="10" t="s">
        <v>67</v>
      </c>
      <c r="B17" s="11" t="s">
        <v>5</v>
      </c>
      <c r="C17" s="39">
        <v>375000</v>
      </c>
      <c r="D17" s="12"/>
      <c r="E17" s="39">
        <f t="shared" si="1"/>
        <v>0</v>
      </c>
      <c r="H17" s="36"/>
      <c r="I17" s="37"/>
      <c r="J17" s="37"/>
      <c r="K17" s="38"/>
      <c r="L17" s="38"/>
      <c r="M17" s="38"/>
      <c r="N17" s="38"/>
    </row>
    <row r="18" spans="1:14" ht="22.5" hidden="1" customHeight="1" x14ac:dyDescent="0.2">
      <c r="A18" s="10" t="s">
        <v>66</v>
      </c>
      <c r="B18" s="11" t="s">
        <v>5</v>
      </c>
      <c r="C18" s="39">
        <v>412500</v>
      </c>
      <c r="D18" s="12"/>
      <c r="E18" s="39">
        <f t="shared" si="1"/>
        <v>0</v>
      </c>
      <c r="H18" s="36"/>
      <c r="I18" s="37"/>
      <c r="J18" s="37"/>
      <c r="K18" s="38"/>
      <c r="L18" s="38"/>
      <c r="M18" s="38"/>
      <c r="N18" s="38"/>
    </row>
    <row r="19" spans="1:14" ht="22.5" hidden="1" customHeight="1" x14ac:dyDescent="0.2">
      <c r="A19" s="10" t="s">
        <v>68</v>
      </c>
      <c r="B19" s="11" t="s">
        <v>5</v>
      </c>
      <c r="C19" s="39">
        <v>487500</v>
      </c>
      <c r="D19" s="12"/>
      <c r="E19" s="39">
        <f t="shared" si="1"/>
        <v>0</v>
      </c>
      <c r="H19" s="36"/>
      <c r="I19" s="37"/>
      <c r="J19" s="37"/>
      <c r="K19" s="38"/>
      <c r="L19" s="38"/>
      <c r="M19" s="38"/>
      <c r="N19" s="38"/>
    </row>
    <row r="20" spans="1:14" ht="22.5" hidden="1" customHeight="1" x14ac:dyDescent="0.2">
      <c r="A20" s="10" t="s">
        <v>69</v>
      </c>
      <c r="B20" s="11" t="s">
        <v>5</v>
      </c>
      <c r="C20" s="39">
        <v>562500</v>
      </c>
      <c r="D20" s="12"/>
      <c r="E20" s="39">
        <f t="shared" si="1"/>
        <v>0</v>
      </c>
      <c r="H20" s="36"/>
      <c r="I20" s="37"/>
      <c r="J20" s="37"/>
      <c r="K20" s="38"/>
      <c r="L20" s="38"/>
      <c r="M20" s="38"/>
      <c r="N20" s="38"/>
    </row>
    <row r="21" spans="1:14" ht="22.5" customHeight="1" x14ac:dyDescent="0.2">
      <c r="A21" s="9" t="s">
        <v>8</v>
      </c>
      <c r="B21" s="7"/>
      <c r="C21" s="40"/>
      <c r="D21" s="12"/>
      <c r="E21" s="39"/>
    </row>
    <row r="22" spans="1:14" ht="22.5" customHeight="1" x14ac:dyDescent="0.15">
      <c r="A22" s="10" t="s">
        <v>62</v>
      </c>
      <c r="B22" s="11" t="s">
        <v>5</v>
      </c>
      <c r="C22" s="39">
        <v>750000</v>
      </c>
      <c r="D22" s="12">
        <f>ROUNDUP(D2/2,0)</f>
        <v>3</v>
      </c>
      <c r="E22" s="39">
        <f t="shared" si="1"/>
        <v>2250000</v>
      </c>
    </row>
    <row r="23" spans="1:14" ht="22.5" customHeight="1" x14ac:dyDescent="0.15">
      <c r="A23" s="10" t="s">
        <v>63</v>
      </c>
      <c r="B23" s="11" t="s">
        <v>5</v>
      </c>
      <c r="C23" s="39">
        <v>950000</v>
      </c>
      <c r="D23" s="12"/>
      <c r="E23" s="39">
        <f t="shared" si="1"/>
        <v>0</v>
      </c>
    </row>
    <row r="24" spans="1:14" ht="22.5" customHeight="1" x14ac:dyDescent="0.15">
      <c r="A24" s="10" t="s">
        <v>64</v>
      </c>
      <c r="B24" s="11" t="s">
        <v>5</v>
      </c>
      <c r="C24" s="39">
        <v>300000</v>
      </c>
      <c r="D24" s="12"/>
      <c r="E24" s="39">
        <f t="shared" si="1"/>
        <v>0</v>
      </c>
    </row>
    <row r="25" spans="1:14" ht="22.5" customHeight="1" x14ac:dyDescent="0.2">
      <c r="A25" s="9" t="s">
        <v>9</v>
      </c>
      <c r="B25" s="7"/>
      <c r="C25" s="40"/>
      <c r="D25" s="12"/>
      <c r="E25" s="39">
        <f t="shared" si="1"/>
        <v>0</v>
      </c>
    </row>
    <row r="26" spans="1:14" ht="22.5" customHeight="1" x14ac:dyDescent="0.15">
      <c r="A26" s="10" t="s">
        <v>56</v>
      </c>
      <c r="B26" s="11" t="s">
        <v>5</v>
      </c>
      <c r="C26" s="39">
        <v>425000</v>
      </c>
      <c r="D26" s="12"/>
      <c r="E26" s="39">
        <f t="shared" si="1"/>
        <v>0</v>
      </c>
    </row>
    <row r="27" spans="1:14" ht="22.5" customHeight="1" x14ac:dyDescent="0.15">
      <c r="A27" s="10" t="s">
        <v>10</v>
      </c>
      <c r="B27" s="11" t="s">
        <v>5</v>
      </c>
      <c r="C27" s="39">
        <v>260000</v>
      </c>
      <c r="D27" s="12">
        <f>ROUNDUP($D$2/2,0)</f>
        <v>3</v>
      </c>
      <c r="E27" s="39">
        <f t="shared" si="1"/>
        <v>780000</v>
      </c>
    </row>
    <row r="28" spans="1:14" ht="22.5" customHeight="1" x14ac:dyDescent="0.15">
      <c r="A28" s="10" t="s">
        <v>11</v>
      </c>
      <c r="B28" s="11" t="s">
        <v>5</v>
      </c>
      <c r="C28" s="39">
        <v>300000</v>
      </c>
      <c r="D28" s="12"/>
      <c r="E28" s="39">
        <f t="shared" si="1"/>
        <v>0</v>
      </c>
    </row>
    <row r="29" spans="1:14" ht="22.5" customHeight="1" x14ac:dyDescent="0.15">
      <c r="A29" s="13" t="s">
        <v>12</v>
      </c>
      <c r="B29" s="11" t="s">
        <v>5</v>
      </c>
      <c r="C29" s="39">
        <v>316000</v>
      </c>
      <c r="D29" s="12"/>
      <c r="E29" s="39">
        <f t="shared" si="1"/>
        <v>0</v>
      </c>
    </row>
    <row r="30" spans="1:14" ht="22.5" customHeight="1" x14ac:dyDescent="0.15">
      <c r="A30" s="13" t="s">
        <v>13</v>
      </c>
      <c r="B30" s="11" t="s">
        <v>5</v>
      </c>
      <c r="C30" s="39">
        <v>380000</v>
      </c>
      <c r="D30" s="12"/>
      <c r="E30" s="39">
        <f t="shared" si="1"/>
        <v>0</v>
      </c>
    </row>
    <row r="31" spans="1:14" ht="22.5" customHeight="1" x14ac:dyDescent="0.15">
      <c r="A31" s="13" t="s">
        <v>14</v>
      </c>
      <c r="B31" s="11" t="s">
        <v>5</v>
      </c>
      <c r="C31" s="39">
        <v>440000</v>
      </c>
      <c r="D31" s="12"/>
      <c r="E31" s="39">
        <f t="shared" si="1"/>
        <v>0</v>
      </c>
    </row>
    <row r="32" spans="1:14" ht="22.5" customHeight="1" x14ac:dyDescent="0.2">
      <c r="A32" s="6" t="s">
        <v>15</v>
      </c>
      <c r="B32" s="7"/>
      <c r="C32" s="40"/>
      <c r="D32" s="12"/>
      <c r="E32" s="39">
        <f t="shared" si="1"/>
        <v>0</v>
      </c>
    </row>
    <row r="33" spans="1:5" ht="22.5" customHeight="1" x14ac:dyDescent="0.2">
      <c r="A33" s="9" t="s">
        <v>16</v>
      </c>
      <c r="B33" s="7"/>
      <c r="C33" s="40"/>
      <c r="D33" s="12"/>
      <c r="E33" s="39">
        <f t="shared" si="1"/>
        <v>0</v>
      </c>
    </row>
    <row r="34" spans="1:5" ht="22.5" customHeight="1" x14ac:dyDescent="0.15">
      <c r="A34" s="10" t="s">
        <v>60</v>
      </c>
      <c r="B34" s="11" t="s">
        <v>17</v>
      </c>
      <c r="C34" s="39">
        <v>75000</v>
      </c>
      <c r="D34" s="12">
        <f>$D$2</f>
        <v>6</v>
      </c>
      <c r="E34" s="39">
        <f t="shared" si="1"/>
        <v>450000</v>
      </c>
    </row>
    <row r="35" spans="1:5" ht="22.5" customHeight="1" x14ac:dyDescent="0.15">
      <c r="A35" s="13" t="s">
        <v>18</v>
      </c>
      <c r="B35" s="11" t="s">
        <v>17</v>
      </c>
      <c r="C35" s="39">
        <v>55000</v>
      </c>
      <c r="D35" s="12"/>
      <c r="E35" s="39">
        <f t="shared" si="1"/>
        <v>0</v>
      </c>
    </row>
    <row r="36" spans="1:5" ht="22.5" customHeight="1" x14ac:dyDescent="0.15">
      <c r="A36" s="10" t="s">
        <v>19</v>
      </c>
      <c r="B36" s="11" t="s">
        <v>17</v>
      </c>
      <c r="C36" s="39">
        <v>25000</v>
      </c>
      <c r="D36" s="12">
        <f>$D$2</f>
        <v>6</v>
      </c>
      <c r="E36" s="39">
        <f t="shared" si="1"/>
        <v>150000</v>
      </c>
    </row>
    <row r="37" spans="1:5" ht="22.5" customHeight="1" x14ac:dyDescent="0.15">
      <c r="A37" s="10" t="s">
        <v>76</v>
      </c>
      <c r="B37" s="11" t="s">
        <v>5</v>
      </c>
      <c r="C37" s="39">
        <v>250000</v>
      </c>
      <c r="D37" s="12">
        <v>1</v>
      </c>
      <c r="E37" s="39">
        <f t="shared" si="1"/>
        <v>250000</v>
      </c>
    </row>
    <row r="38" spans="1:5" ht="22.5" customHeight="1" x14ac:dyDescent="0.15">
      <c r="A38" s="13" t="s">
        <v>95</v>
      </c>
      <c r="B38" s="11" t="s">
        <v>17</v>
      </c>
      <c r="C38" s="39">
        <v>65000</v>
      </c>
      <c r="D38" s="12"/>
      <c r="E38" s="39">
        <f t="shared" si="1"/>
        <v>0</v>
      </c>
    </row>
    <row r="39" spans="1:5" ht="22.5" customHeight="1" x14ac:dyDescent="0.15">
      <c r="A39" s="13" t="s">
        <v>96</v>
      </c>
      <c r="B39" s="11" t="s">
        <v>17</v>
      </c>
      <c r="C39" s="39">
        <v>65000</v>
      </c>
      <c r="D39" s="12"/>
      <c r="E39" s="39">
        <f t="shared" si="1"/>
        <v>0</v>
      </c>
    </row>
    <row r="40" spans="1:5" ht="22.5" customHeight="1" x14ac:dyDescent="0.15">
      <c r="A40" s="10" t="s">
        <v>57</v>
      </c>
      <c r="B40" s="11" t="s">
        <v>17</v>
      </c>
      <c r="C40" s="39">
        <v>60000</v>
      </c>
      <c r="D40" s="12">
        <f>D2</f>
        <v>6</v>
      </c>
      <c r="E40" s="39">
        <f t="shared" si="1"/>
        <v>360000</v>
      </c>
    </row>
    <row r="41" spans="1:5" ht="22.5" customHeight="1" x14ac:dyDescent="0.15">
      <c r="A41" s="10" t="s">
        <v>58</v>
      </c>
      <c r="B41" s="11" t="s">
        <v>17</v>
      </c>
      <c r="C41" s="39">
        <v>60000</v>
      </c>
      <c r="D41" s="12"/>
      <c r="E41" s="39">
        <f t="shared" si="1"/>
        <v>0</v>
      </c>
    </row>
    <row r="42" spans="1:5" ht="22.5" customHeight="1" x14ac:dyDescent="0.15">
      <c r="A42" s="13" t="s">
        <v>20</v>
      </c>
      <c r="B42" s="11" t="s">
        <v>5</v>
      </c>
      <c r="C42" s="39">
        <v>35000</v>
      </c>
      <c r="D42" s="12"/>
      <c r="E42" s="39">
        <f t="shared" si="1"/>
        <v>0</v>
      </c>
    </row>
    <row r="43" spans="1:5" ht="22.5" customHeight="1" x14ac:dyDescent="0.2">
      <c r="A43" s="9" t="s">
        <v>21</v>
      </c>
      <c r="B43" s="7"/>
      <c r="C43" s="41"/>
      <c r="D43" s="12"/>
      <c r="E43" s="39"/>
    </row>
    <row r="44" spans="1:5" ht="22.5" customHeight="1" x14ac:dyDescent="0.15">
      <c r="A44" s="10" t="s">
        <v>59</v>
      </c>
      <c r="B44" s="11" t="s">
        <v>17</v>
      </c>
      <c r="C44" s="39">
        <v>160000</v>
      </c>
      <c r="D44" s="12">
        <f>D2</f>
        <v>6</v>
      </c>
      <c r="E44" s="39">
        <f t="shared" si="1"/>
        <v>960000</v>
      </c>
    </row>
    <row r="45" spans="1:5" ht="22.5" customHeight="1" x14ac:dyDescent="0.15">
      <c r="A45" s="13" t="s">
        <v>22</v>
      </c>
      <c r="B45" s="11" t="s">
        <v>17</v>
      </c>
      <c r="C45" s="39">
        <v>500000</v>
      </c>
      <c r="D45" s="12">
        <f>ROUNDUP(D2/4,0)</f>
        <v>2</v>
      </c>
      <c r="E45" s="39">
        <f t="shared" si="1"/>
        <v>1000000</v>
      </c>
    </row>
    <row r="46" spans="1:5" ht="22.5" customHeight="1" x14ac:dyDescent="0.2">
      <c r="A46" s="9" t="s">
        <v>23</v>
      </c>
      <c r="B46" s="7"/>
      <c r="C46" s="41"/>
      <c r="D46" s="12"/>
      <c r="E46" s="39">
        <f t="shared" si="1"/>
        <v>0</v>
      </c>
    </row>
    <row r="47" spans="1:5" ht="22.5" customHeight="1" x14ac:dyDescent="0.15">
      <c r="A47" s="13" t="s">
        <v>24</v>
      </c>
      <c r="B47" s="11" t="s">
        <v>17</v>
      </c>
      <c r="C47" s="39">
        <v>150000</v>
      </c>
      <c r="D47" s="12">
        <f>D2</f>
        <v>6</v>
      </c>
      <c r="E47" s="39">
        <f t="shared" si="1"/>
        <v>900000</v>
      </c>
    </row>
    <row r="48" spans="1:5" ht="22.5" customHeight="1" x14ac:dyDescent="0.15">
      <c r="A48" s="10" t="s">
        <v>75</v>
      </c>
      <c r="B48" s="11" t="s">
        <v>5</v>
      </c>
      <c r="C48" s="39">
        <v>200000</v>
      </c>
      <c r="D48" s="12">
        <v>1</v>
      </c>
      <c r="E48" s="39">
        <f t="shared" si="1"/>
        <v>200000</v>
      </c>
    </row>
    <row r="49" spans="1:5" ht="22.5" customHeight="1" x14ac:dyDescent="0.15">
      <c r="A49" s="13" t="s">
        <v>25</v>
      </c>
      <c r="B49" s="11" t="s">
        <v>17</v>
      </c>
      <c r="C49" s="39">
        <v>50000</v>
      </c>
      <c r="D49" s="12">
        <f>D2</f>
        <v>6</v>
      </c>
      <c r="E49" s="39">
        <f t="shared" si="1"/>
        <v>300000</v>
      </c>
    </row>
    <row r="50" spans="1:5" ht="22.5" customHeight="1" x14ac:dyDescent="0.15">
      <c r="A50" s="13" t="s">
        <v>26</v>
      </c>
      <c r="B50" s="11" t="s">
        <v>17</v>
      </c>
      <c r="C50" s="39">
        <v>40000</v>
      </c>
      <c r="D50" s="12">
        <f>$D$2</f>
        <v>6</v>
      </c>
      <c r="E50" s="39">
        <f t="shared" si="1"/>
        <v>240000</v>
      </c>
    </row>
    <row r="51" spans="1:5" ht="22.5" customHeight="1" x14ac:dyDescent="0.2">
      <c r="A51" s="16" t="s">
        <v>27</v>
      </c>
      <c r="B51" s="7"/>
      <c r="C51" s="40"/>
      <c r="D51" s="12"/>
      <c r="E51" s="39"/>
    </row>
    <row r="52" spans="1:5" ht="22.5" customHeight="1" x14ac:dyDescent="0.2">
      <c r="A52" s="9" t="s">
        <v>28</v>
      </c>
      <c r="B52" s="7"/>
      <c r="C52" s="40"/>
      <c r="D52" s="12"/>
      <c r="E52" s="39"/>
    </row>
    <row r="53" spans="1:5" ht="22.5" customHeight="1" x14ac:dyDescent="0.15">
      <c r="A53" s="13" t="s">
        <v>29</v>
      </c>
      <c r="B53" s="11" t="s">
        <v>30</v>
      </c>
      <c r="C53" s="39">
        <v>450000</v>
      </c>
      <c r="D53" s="12">
        <f>IF($D$2=1,$C$2, IF($D$2=2,$C$2,0))</f>
        <v>0</v>
      </c>
      <c r="E53" s="39">
        <f t="shared" si="1"/>
        <v>0</v>
      </c>
    </row>
    <row r="54" spans="1:5" ht="22.5" customHeight="1" x14ac:dyDescent="0.15">
      <c r="A54" s="13" t="s">
        <v>31</v>
      </c>
      <c r="B54" s="11" t="s">
        <v>30</v>
      </c>
      <c r="C54" s="39">
        <v>550000</v>
      </c>
      <c r="D54" s="12">
        <f>IF($D$2=3,$C$2, 0)</f>
        <v>0</v>
      </c>
      <c r="E54" s="39">
        <f t="shared" si="1"/>
        <v>0</v>
      </c>
    </row>
    <row r="55" spans="1:5" ht="22.5" customHeight="1" x14ac:dyDescent="0.15">
      <c r="A55" s="10" t="s">
        <v>32</v>
      </c>
      <c r="B55" s="11" t="s">
        <v>30</v>
      </c>
      <c r="C55" s="39">
        <v>1100000</v>
      </c>
      <c r="D55" s="12">
        <f>IF((($D$2&gt;=4)*($D$2&lt;=11))=1,$C$2,0)</f>
        <v>4</v>
      </c>
      <c r="E55" s="39">
        <f t="shared" si="1"/>
        <v>4400000</v>
      </c>
    </row>
    <row r="56" spans="1:5" ht="22.5" customHeight="1" x14ac:dyDescent="0.15">
      <c r="A56" s="13" t="s">
        <v>33</v>
      </c>
      <c r="B56" s="11" t="s">
        <v>30</v>
      </c>
      <c r="C56" s="39">
        <v>1300000</v>
      </c>
      <c r="D56" s="12"/>
      <c r="E56" s="39">
        <f t="shared" si="1"/>
        <v>0</v>
      </c>
    </row>
    <row r="57" spans="1:5" ht="22.5" customHeight="1" x14ac:dyDescent="0.15">
      <c r="A57" s="10" t="s">
        <v>91</v>
      </c>
      <c r="B57" s="11" t="s">
        <v>30</v>
      </c>
      <c r="C57" s="39">
        <v>650000</v>
      </c>
      <c r="D57" s="12">
        <f>IF((($D$2&gt;=10)*($D$2&lt;=11))=1,1,0)</f>
        <v>0</v>
      </c>
      <c r="E57" s="39">
        <f t="shared" si="1"/>
        <v>0</v>
      </c>
    </row>
    <row r="58" spans="1:5" ht="22.5" customHeight="1" x14ac:dyDescent="0.2">
      <c r="A58" s="9" t="s">
        <v>34</v>
      </c>
      <c r="B58" s="7"/>
      <c r="C58" s="40"/>
      <c r="D58" s="12"/>
      <c r="E58" s="39"/>
    </row>
    <row r="59" spans="1:5" ht="22.5" customHeight="1" x14ac:dyDescent="0.15">
      <c r="A59" s="13" t="s">
        <v>35</v>
      </c>
      <c r="B59" s="11" t="s">
        <v>5</v>
      </c>
      <c r="C59" s="39">
        <v>200000</v>
      </c>
      <c r="D59" s="12">
        <f>IF((($D$2&gt;=10)*($D$2&lt;=11))=1,2,1)</f>
        <v>1</v>
      </c>
      <c r="E59" s="39">
        <f t="shared" si="1"/>
        <v>200000</v>
      </c>
    </row>
    <row r="60" spans="1:5" ht="22.5" customHeight="1" x14ac:dyDescent="0.15">
      <c r="A60" s="10" t="s">
        <v>70</v>
      </c>
      <c r="B60" s="11" t="s">
        <v>5</v>
      </c>
      <c r="C60" s="39">
        <v>300000</v>
      </c>
      <c r="D60" s="12"/>
      <c r="E60" s="39">
        <f t="shared" si="1"/>
        <v>0</v>
      </c>
    </row>
    <row r="61" spans="1:5" ht="22.5" customHeight="1" x14ac:dyDescent="0.2">
      <c r="A61" s="9" t="s">
        <v>36</v>
      </c>
      <c r="B61" s="7"/>
      <c r="C61" s="40"/>
      <c r="D61" s="12"/>
      <c r="E61" s="39">
        <f t="shared" si="1"/>
        <v>0</v>
      </c>
    </row>
    <row r="62" spans="1:5" ht="22.5" customHeight="1" x14ac:dyDescent="0.15">
      <c r="A62" s="13" t="s">
        <v>37</v>
      </c>
      <c r="B62" s="11" t="s">
        <v>38</v>
      </c>
      <c r="C62" s="39">
        <v>200000</v>
      </c>
      <c r="D62" s="12"/>
      <c r="E62" s="39">
        <f t="shared" si="1"/>
        <v>0</v>
      </c>
    </row>
    <row r="63" spans="1:5" ht="22.5" customHeight="1" x14ac:dyDescent="0.2">
      <c r="A63" s="15" t="s">
        <v>74</v>
      </c>
      <c r="B63" s="7"/>
      <c r="C63" s="40"/>
      <c r="D63" s="12"/>
      <c r="E63" s="39">
        <f t="shared" si="1"/>
        <v>0</v>
      </c>
    </row>
    <row r="64" spans="1:5" ht="22.5" customHeight="1" x14ac:dyDescent="0.15">
      <c r="A64" s="10" t="s">
        <v>92</v>
      </c>
      <c r="B64" s="11" t="s">
        <v>38</v>
      </c>
      <c r="C64" s="39">
        <v>700000</v>
      </c>
      <c r="D64" s="12">
        <f>IF((($D$2&gt;=1)*($D$2&lt;=3))=1,1,0)</f>
        <v>0</v>
      </c>
      <c r="E64" s="39">
        <f t="shared" si="1"/>
        <v>0</v>
      </c>
    </row>
    <row r="65" spans="1:5" ht="22.5" customHeight="1" x14ac:dyDescent="0.15">
      <c r="A65" s="10" t="s">
        <v>93</v>
      </c>
      <c r="B65" s="11" t="s">
        <v>38</v>
      </c>
      <c r="C65" s="39">
        <v>1100000</v>
      </c>
      <c r="D65" s="12">
        <f>IF((($D$2&gt;=4)*($D$2&lt;=11))=1,1,0)</f>
        <v>1</v>
      </c>
      <c r="E65" s="39">
        <f t="shared" si="1"/>
        <v>1100000</v>
      </c>
    </row>
    <row r="66" spans="1:5" ht="22.5" customHeight="1" x14ac:dyDescent="0.2">
      <c r="A66" s="16" t="s">
        <v>39</v>
      </c>
      <c r="B66" s="7"/>
      <c r="C66" s="40"/>
      <c r="D66" s="12"/>
      <c r="E66" s="39">
        <f t="shared" si="1"/>
        <v>0</v>
      </c>
    </row>
    <row r="67" spans="1:5" ht="22.5" customHeight="1" x14ac:dyDescent="0.2">
      <c r="A67" s="9" t="s">
        <v>40</v>
      </c>
      <c r="B67" s="7"/>
      <c r="C67" s="40"/>
      <c r="D67" s="12"/>
      <c r="E67" s="39">
        <f t="shared" si="1"/>
        <v>0</v>
      </c>
    </row>
    <row r="68" spans="1:5" ht="22.5" customHeight="1" x14ac:dyDescent="0.15">
      <c r="A68" s="13" t="s">
        <v>41</v>
      </c>
      <c r="B68" s="11" t="s">
        <v>30</v>
      </c>
      <c r="C68" s="39">
        <v>250000</v>
      </c>
      <c r="D68" s="12">
        <f>IF((($D$2&gt;=1)*($D$2&lt;=3))=1,$C$2,0)</f>
        <v>0</v>
      </c>
      <c r="E68" s="39">
        <f t="shared" si="1"/>
        <v>0</v>
      </c>
    </row>
    <row r="69" spans="1:5" ht="22.5" customHeight="1" x14ac:dyDescent="0.15">
      <c r="A69" s="10" t="s">
        <v>71</v>
      </c>
      <c r="B69" s="11" t="s">
        <v>30</v>
      </c>
      <c r="C69" s="39">
        <v>250000</v>
      </c>
      <c r="D69" s="12">
        <f>IF((($D$2&gt;=4)*($D$2&lt;=11))=1,$C$2,0)</f>
        <v>4</v>
      </c>
      <c r="E69" s="39">
        <f t="shared" si="1"/>
        <v>1000000</v>
      </c>
    </row>
    <row r="70" spans="1:5" ht="22.5" customHeight="1" x14ac:dyDescent="0.15">
      <c r="A70" s="10" t="s">
        <v>72</v>
      </c>
      <c r="B70" s="11" t="s">
        <v>30</v>
      </c>
      <c r="C70" s="39">
        <v>200000</v>
      </c>
      <c r="D70" s="12"/>
      <c r="E70" s="39">
        <f t="shared" si="1"/>
        <v>0</v>
      </c>
    </row>
    <row r="71" spans="1:5" ht="22.5" customHeight="1" x14ac:dyDescent="0.2">
      <c r="A71" s="16" t="s">
        <v>42</v>
      </c>
      <c r="B71" s="7"/>
      <c r="C71" s="40"/>
      <c r="D71" s="12"/>
      <c r="E71" s="39">
        <f t="shared" si="1"/>
        <v>0</v>
      </c>
    </row>
    <row r="72" spans="1:5" ht="22.5" customHeight="1" x14ac:dyDescent="0.2">
      <c r="A72" s="9" t="s">
        <v>43</v>
      </c>
      <c r="B72" s="7"/>
      <c r="C72" s="40"/>
      <c r="D72" s="12"/>
      <c r="E72" s="39">
        <f t="shared" si="1"/>
        <v>0</v>
      </c>
    </row>
    <row r="73" spans="1:5" ht="22.5" customHeight="1" x14ac:dyDescent="0.15">
      <c r="A73" s="13" t="s">
        <v>44</v>
      </c>
      <c r="B73" s="11" t="s">
        <v>83</v>
      </c>
      <c r="C73" s="39">
        <v>50000</v>
      </c>
      <c r="D73" s="12">
        <f>ROUNDUP(D2*C2*$C$2/24,0)</f>
        <v>4</v>
      </c>
      <c r="E73" s="39">
        <f t="shared" si="1"/>
        <v>200000</v>
      </c>
    </row>
    <row r="74" spans="1:5" ht="22.5" customHeight="1" x14ac:dyDescent="0.15">
      <c r="A74" s="13" t="s">
        <v>46</v>
      </c>
      <c r="B74" s="11" t="s">
        <v>45</v>
      </c>
      <c r="C74" s="39">
        <v>100000</v>
      </c>
      <c r="D74" s="12">
        <v>1</v>
      </c>
      <c r="E74" s="39">
        <f t="shared" si="1"/>
        <v>100000</v>
      </c>
    </row>
    <row r="75" spans="1:5" ht="22.5" customHeight="1" x14ac:dyDescent="0.15">
      <c r="A75" s="13" t="s">
        <v>47</v>
      </c>
      <c r="B75" s="11" t="s">
        <v>17</v>
      </c>
      <c r="C75" s="39">
        <v>60000</v>
      </c>
      <c r="D75" s="12">
        <f>D2</f>
        <v>6</v>
      </c>
      <c r="E75" s="39">
        <f t="shared" ref="E75:E79" si="2">C75*D75</f>
        <v>360000</v>
      </c>
    </row>
    <row r="76" spans="1:5" ht="22.5" customHeight="1" x14ac:dyDescent="0.2">
      <c r="A76" s="9" t="s">
        <v>48</v>
      </c>
      <c r="B76" s="7"/>
      <c r="C76" s="14"/>
      <c r="D76" s="12"/>
      <c r="E76" s="39">
        <f t="shared" si="2"/>
        <v>0</v>
      </c>
    </row>
    <row r="77" spans="1:5" ht="22.5" customHeight="1" x14ac:dyDescent="0.15">
      <c r="A77" s="13" t="s">
        <v>49</v>
      </c>
      <c r="B77" s="11" t="s">
        <v>38</v>
      </c>
      <c r="C77" s="12">
        <v>2000000</v>
      </c>
      <c r="D77" s="12"/>
      <c r="E77" s="39">
        <f t="shared" si="2"/>
        <v>0</v>
      </c>
    </row>
    <row r="78" spans="1:5" ht="22.5" customHeight="1" x14ac:dyDescent="0.2">
      <c r="A78" s="9" t="s">
        <v>50</v>
      </c>
      <c r="B78" s="7"/>
      <c r="C78" s="14"/>
      <c r="D78" s="12"/>
      <c r="E78" s="39">
        <f t="shared" si="2"/>
        <v>0</v>
      </c>
    </row>
    <row r="79" spans="1:5" ht="22.5" customHeight="1" x14ac:dyDescent="0.15">
      <c r="A79" s="13" t="s">
        <v>51</v>
      </c>
      <c r="B79" s="11" t="s">
        <v>17</v>
      </c>
      <c r="C79" s="12">
        <v>16000</v>
      </c>
      <c r="D79" s="12">
        <f>D2</f>
        <v>6</v>
      </c>
      <c r="E79" s="39">
        <f t="shared" si="2"/>
        <v>96000</v>
      </c>
    </row>
    <row r="80" spans="1:5" ht="22.5" customHeight="1" x14ac:dyDescent="0.15">
      <c r="A80" s="10" t="s">
        <v>61</v>
      </c>
      <c r="B80" s="11" t="s">
        <v>5</v>
      </c>
      <c r="C80" s="12">
        <v>100000</v>
      </c>
      <c r="D80" s="12">
        <v>1</v>
      </c>
      <c r="E80" s="39">
        <f>C80*D80</f>
        <v>100000</v>
      </c>
    </row>
    <row r="81" spans="1:5" s="1" customFormat="1" ht="30" customHeight="1" x14ac:dyDescent="0.15">
      <c r="A81" s="18" t="s">
        <v>84</v>
      </c>
      <c r="B81" s="17"/>
      <c r="C81" s="5"/>
      <c r="D81" s="12"/>
      <c r="E81" s="42">
        <f>SUM(E7:E80)</f>
        <v>16896000</v>
      </c>
    </row>
    <row r="82" spans="1:5" ht="36" customHeight="1" x14ac:dyDescent="0.15">
      <c r="A82" s="18" t="s">
        <v>88</v>
      </c>
      <c r="B82" s="8"/>
      <c r="C82" s="8"/>
      <c r="D82" s="8"/>
      <c r="E82" s="42">
        <f>E81/D2</f>
        <v>2816000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7666F-F4E6-4A4B-B28D-2AB5949A2BF5}">
  <sheetPr>
    <pageSetUpPr fitToPage="1"/>
  </sheetPr>
  <dimension ref="A1:N82"/>
  <sheetViews>
    <sheetView topLeftCell="A55" zoomScale="70" zoomScaleNormal="70" workbookViewId="0">
      <selection activeCell="D32" sqref="D32"/>
    </sheetView>
  </sheetViews>
  <sheetFormatPr baseColWidth="10" defaultColWidth="9" defaultRowHeight="13" x14ac:dyDescent="0.15"/>
  <cols>
    <col min="1" max="1" width="103.19921875" bestFit="1" customWidth="1"/>
    <col min="2" max="2" width="23.19921875" customWidth="1"/>
    <col min="3" max="3" width="29.19921875" customWidth="1"/>
    <col min="4" max="4" width="24.19921875" customWidth="1"/>
    <col min="5" max="5" width="25.3984375" customWidth="1"/>
    <col min="8" max="8" width="7" bestFit="1" customWidth="1"/>
    <col min="9" max="10" width="20.796875" bestFit="1" customWidth="1"/>
    <col min="11" max="11" width="18.59765625" bestFit="1" customWidth="1"/>
    <col min="12" max="12" width="20.3984375" bestFit="1" customWidth="1"/>
    <col min="13" max="13" width="18.59765625" bestFit="1" customWidth="1"/>
    <col min="14" max="14" width="27.3984375" bestFit="1" customWidth="1"/>
  </cols>
  <sheetData>
    <row r="1" spans="1:5" ht="25.5" customHeight="1" x14ac:dyDescent="0.15">
      <c r="A1" s="2" t="s">
        <v>77</v>
      </c>
      <c r="B1" s="2" t="s">
        <v>78</v>
      </c>
      <c r="C1" s="2" t="s">
        <v>79</v>
      </c>
      <c r="D1" s="2" t="s">
        <v>80</v>
      </c>
    </row>
    <row r="2" spans="1:5" ht="27.75" customHeight="1" x14ac:dyDescent="0.15">
      <c r="A2" s="3" t="s">
        <v>94</v>
      </c>
      <c r="B2" s="3">
        <v>54</v>
      </c>
      <c r="C2" s="3">
        <v>4</v>
      </c>
      <c r="D2" s="43">
        <v>7</v>
      </c>
    </row>
    <row r="3" spans="1:5" ht="27.75" customHeight="1" x14ac:dyDescent="0.15">
      <c r="A3" s="4"/>
      <c r="B3" s="4"/>
      <c r="C3" s="4"/>
    </row>
    <row r="4" spans="1:5" ht="35.25" customHeight="1" x14ac:dyDescent="0.15">
      <c r="A4" s="5" t="s">
        <v>0</v>
      </c>
      <c r="B4" s="5" t="s">
        <v>1</v>
      </c>
      <c r="C4" s="5" t="s">
        <v>2</v>
      </c>
      <c r="D4" s="5" t="s">
        <v>81</v>
      </c>
      <c r="E4" s="5" t="s">
        <v>82</v>
      </c>
    </row>
    <row r="5" spans="1:5" ht="22.5" customHeight="1" x14ac:dyDescent="0.2">
      <c r="A5" s="6" t="s">
        <v>3</v>
      </c>
      <c r="B5" s="7"/>
      <c r="C5" s="7"/>
      <c r="D5" s="8"/>
      <c r="E5" s="8"/>
    </row>
    <row r="6" spans="1:5" ht="22.5" customHeight="1" x14ac:dyDescent="0.2">
      <c r="A6" s="9" t="s">
        <v>4</v>
      </c>
      <c r="B6" s="7"/>
      <c r="C6" s="7"/>
      <c r="D6" s="8"/>
      <c r="E6" s="8"/>
    </row>
    <row r="7" spans="1:5" ht="22.5" customHeight="1" x14ac:dyDescent="0.15">
      <c r="A7" s="10" t="s">
        <v>97</v>
      </c>
      <c r="B7" s="11" t="s">
        <v>5</v>
      </c>
      <c r="C7" s="39">
        <v>500000</v>
      </c>
      <c r="D7" s="12">
        <v>3</v>
      </c>
      <c r="E7" s="39">
        <f t="shared" ref="E7:E9" si="0">C7*D7</f>
        <v>1500000</v>
      </c>
    </row>
    <row r="8" spans="1:5" ht="22.5" customHeight="1" x14ac:dyDescent="0.15">
      <c r="A8" s="10" t="s">
        <v>98</v>
      </c>
      <c r="B8" s="11" t="s">
        <v>5</v>
      </c>
      <c r="C8" s="39">
        <v>250000</v>
      </c>
      <c r="D8" s="12">
        <v>1</v>
      </c>
      <c r="E8" s="39">
        <f t="shared" si="0"/>
        <v>250000</v>
      </c>
    </row>
    <row r="9" spans="1:5" ht="22.5" customHeight="1" x14ac:dyDescent="0.15">
      <c r="A9" s="10" t="s">
        <v>73</v>
      </c>
      <c r="B9" s="11" t="s">
        <v>5</v>
      </c>
      <c r="C9" s="39">
        <v>560000</v>
      </c>
      <c r="D9" s="12"/>
      <c r="E9" s="39">
        <f t="shared" si="0"/>
        <v>0</v>
      </c>
    </row>
    <row r="10" spans="1:5" ht="22.5" hidden="1" customHeight="1" x14ac:dyDescent="0.15">
      <c r="A10" s="13" t="s">
        <v>6</v>
      </c>
      <c r="B10" s="11" t="s">
        <v>5</v>
      </c>
      <c r="C10" s="39">
        <v>435000</v>
      </c>
      <c r="D10" s="12"/>
      <c r="E10" s="39">
        <f>C10*D10</f>
        <v>0</v>
      </c>
    </row>
    <row r="11" spans="1:5" ht="22.5" hidden="1" customHeight="1" x14ac:dyDescent="0.15">
      <c r="A11" s="13" t="s">
        <v>7</v>
      </c>
      <c r="B11" s="11" t="s">
        <v>5</v>
      </c>
      <c r="C11" s="39">
        <v>300000</v>
      </c>
      <c r="D11" s="12"/>
      <c r="E11" s="39">
        <f t="shared" ref="E11:E74" si="1">C11*D11</f>
        <v>0</v>
      </c>
    </row>
    <row r="12" spans="1:5" ht="22.5" hidden="1" customHeight="1" x14ac:dyDescent="0.15">
      <c r="A12" s="10" t="s">
        <v>52</v>
      </c>
      <c r="B12" s="11" t="s">
        <v>5</v>
      </c>
      <c r="C12" s="39">
        <v>250000</v>
      </c>
      <c r="D12" s="12"/>
      <c r="E12" s="39">
        <f t="shared" si="1"/>
        <v>0</v>
      </c>
    </row>
    <row r="13" spans="1:5" ht="22.5" hidden="1" customHeight="1" x14ac:dyDescent="0.15">
      <c r="A13" s="10" t="s">
        <v>53</v>
      </c>
      <c r="B13" s="11" t="s">
        <v>5</v>
      </c>
      <c r="C13" s="39">
        <v>275000</v>
      </c>
      <c r="D13" s="12"/>
      <c r="E13" s="39">
        <f t="shared" si="1"/>
        <v>0</v>
      </c>
    </row>
    <row r="14" spans="1:5" ht="22.5" hidden="1" customHeight="1" x14ac:dyDescent="0.15">
      <c r="A14" s="10" t="s">
        <v>54</v>
      </c>
      <c r="B14" s="11" t="s">
        <v>5</v>
      </c>
      <c r="C14" s="39">
        <v>450000</v>
      </c>
      <c r="D14" s="12"/>
      <c r="E14" s="39">
        <f t="shared" si="1"/>
        <v>0</v>
      </c>
    </row>
    <row r="15" spans="1:5" ht="22.5" hidden="1" customHeight="1" x14ac:dyDescent="0.15">
      <c r="A15" s="10" t="s">
        <v>55</v>
      </c>
      <c r="B15" s="11" t="s">
        <v>5</v>
      </c>
      <c r="C15" s="39">
        <v>450000</v>
      </c>
      <c r="D15" s="12"/>
      <c r="E15" s="39">
        <f t="shared" si="1"/>
        <v>0</v>
      </c>
    </row>
    <row r="16" spans="1:5" ht="22.5" hidden="1" customHeight="1" x14ac:dyDescent="0.15">
      <c r="A16" s="10" t="s">
        <v>65</v>
      </c>
      <c r="B16" s="11" t="s">
        <v>5</v>
      </c>
      <c r="C16" s="39">
        <v>337500</v>
      </c>
      <c r="D16" s="12"/>
      <c r="E16" s="39">
        <f t="shared" si="1"/>
        <v>0</v>
      </c>
    </row>
    <row r="17" spans="1:14" ht="22.5" hidden="1" customHeight="1" x14ac:dyDescent="0.2">
      <c r="A17" s="10" t="s">
        <v>67</v>
      </c>
      <c r="B17" s="11" t="s">
        <v>5</v>
      </c>
      <c r="C17" s="39">
        <v>375000</v>
      </c>
      <c r="D17" s="12"/>
      <c r="E17" s="39">
        <f t="shared" si="1"/>
        <v>0</v>
      </c>
      <c r="H17" s="36"/>
      <c r="I17" s="37"/>
      <c r="J17" s="37"/>
      <c r="K17" s="38"/>
      <c r="L17" s="38"/>
      <c r="M17" s="38"/>
      <c r="N17" s="38"/>
    </row>
    <row r="18" spans="1:14" ht="22.5" hidden="1" customHeight="1" x14ac:dyDescent="0.2">
      <c r="A18" s="10" t="s">
        <v>66</v>
      </c>
      <c r="B18" s="11" t="s">
        <v>5</v>
      </c>
      <c r="C18" s="39">
        <v>412500</v>
      </c>
      <c r="D18" s="12"/>
      <c r="E18" s="39">
        <f t="shared" si="1"/>
        <v>0</v>
      </c>
      <c r="H18" s="36"/>
      <c r="I18" s="37"/>
      <c r="J18" s="37"/>
      <c r="K18" s="38"/>
      <c r="L18" s="38"/>
      <c r="M18" s="38"/>
      <c r="N18" s="38"/>
    </row>
    <row r="19" spans="1:14" ht="22.5" hidden="1" customHeight="1" x14ac:dyDescent="0.2">
      <c r="A19" s="10" t="s">
        <v>68</v>
      </c>
      <c r="B19" s="11" t="s">
        <v>5</v>
      </c>
      <c r="C19" s="39">
        <v>487500</v>
      </c>
      <c r="D19" s="12"/>
      <c r="E19" s="39">
        <f t="shared" si="1"/>
        <v>0</v>
      </c>
      <c r="H19" s="36"/>
      <c r="I19" s="37"/>
      <c r="J19" s="37"/>
      <c r="K19" s="38"/>
      <c r="L19" s="38"/>
      <c r="M19" s="38"/>
      <c r="N19" s="38"/>
    </row>
    <row r="20" spans="1:14" ht="22.5" hidden="1" customHeight="1" x14ac:dyDescent="0.2">
      <c r="A20" s="10" t="s">
        <v>69</v>
      </c>
      <c r="B20" s="11" t="s">
        <v>5</v>
      </c>
      <c r="C20" s="39">
        <v>562500</v>
      </c>
      <c r="D20" s="12"/>
      <c r="E20" s="39">
        <f t="shared" si="1"/>
        <v>0</v>
      </c>
      <c r="H20" s="36"/>
      <c r="I20" s="37"/>
      <c r="J20" s="37"/>
      <c r="K20" s="38"/>
      <c r="L20" s="38"/>
      <c r="M20" s="38"/>
      <c r="N20" s="38"/>
    </row>
    <row r="21" spans="1:14" ht="22.5" customHeight="1" x14ac:dyDescent="0.2">
      <c r="A21" s="9" t="s">
        <v>8</v>
      </c>
      <c r="B21" s="7"/>
      <c r="C21" s="40"/>
      <c r="D21" s="12"/>
      <c r="E21" s="39"/>
    </row>
    <row r="22" spans="1:14" ht="22.5" customHeight="1" x14ac:dyDescent="0.15">
      <c r="A22" s="10" t="s">
        <v>62</v>
      </c>
      <c r="B22" s="11" t="s">
        <v>5</v>
      </c>
      <c r="C22" s="39">
        <v>750000</v>
      </c>
      <c r="D22" s="12">
        <v>2</v>
      </c>
      <c r="E22" s="39">
        <f t="shared" si="1"/>
        <v>1500000</v>
      </c>
    </row>
    <row r="23" spans="1:14" ht="22.5" customHeight="1" x14ac:dyDescent="0.15">
      <c r="A23" s="10" t="s">
        <v>63</v>
      </c>
      <c r="B23" s="11" t="s">
        <v>5</v>
      </c>
      <c r="C23" s="39">
        <v>950000</v>
      </c>
      <c r="D23" s="12">
        <v>1</v>
      </c>
      <c r="E23" s="39">
        <f t="shared" si="1"/>
        <v>950000</v>
      </c>
    </row>
    <row r="24" spans="1:14" ht="22.5" customHeight="1" x14ac:dyDescent="0.15">
      <c r="A24" s="10" t="s">
        <v>64</v>
      </c>
      <c r="B24" s="11" t="s">
        <v>5</v>
      </c>
      <c r="C24" s="39">
        <v>300000</v>
      </c>
      <c r="D24" s="12"/>
      <c r="E24" s="39">
        <f t="shared" si="1"/>
        <v>0</v>
      </c>
    </row>
    <row r="25" spans="1:14" ht="22.5" customHeight="1" x14ac:dyDescent="0.2">
      <c r="A25" s="9" t="s">
        <v>9</v>
      </c>
      <c r="B25" s="7"/>
      <c r="C25" s="40"/>
      <c r="D25" s="12"/>
      <c r="E25" s="39">
        <f t="shared" si="1"/>
        <v>0</v>
      </c>
    </row>
    <row r="26" spans="1:14" ht="22.5" customHeight="1" x14ac:dyDescent="0.15">
      <c r="A26" s="10" t="s">
        <v>56</v>
      </c>
      <c r="B26" s="11" t="s">
        <v>5</v>
      </c>
      <c r="C26" s="39">
        <v>425000</v>
      </c>
      <c r="D26" s="12"/>
      <c r="E26" s="39">
        <f t="shared" si="1"/>
        <v>0</v>
      </c>
    </row>
    <row r="27" spans="1:14" ht="22.5" customHeight="1" x14ac:dyDescent="0.15">
      <c r="A27" s="10" t="s">
        <v>10</v>
      </c>
      <c r="B27" s="11" t="s">
        <v>5</v>
      </c>
      <c r="C27" s="39">
        <v>260000</v>
      </c>
      <c r="D27" s="12">
        <v>2</v>
      </c>
      <c r="E27" s="39">
        <f t="shared" si="1"/>
        <v>520000</v>
      </c>
    </row>
    <row r="28" spans="1:14" ht="22.5" customHeight="1" x14ac:dyDescent="0.15">
      <c r="A28" s="10" t="s">
        <v>11</v>
      </c>
      <c r="B28" s="11" t="s">
        <v>5</v>
      </c>
      <c r="C28" s="39">
        <v>300000</v>
      </c>
      <c r="D28" s="12"/>
      <c r="E28" s="39">
        <f t="shared" si="1"/>
        <v>0</v>
      </c>
    </row>
    <row r="29" spans="1:14" ht="22.5" customHeight="1" x14ac:dyDescent="0.15">
      <c r="A29" s="13" t="s">
        <v>12</v>
      </c>
      <c r="B29" s="11" t="s">
        <v>5</v>
      </c>
      <c r="C29" s="39">
        <v>316000</v>
      </c>
      <c r="D29" s="12"/>
      <c r="E29" s="39">
        <f t="shared" si="1"/>
        <v>0</v>
      </c>
    </row>
    <row r="30" spans="1:14" ht="22.5" customHeight="1" x14ac:dyDescent="0.15">
      <c r="A30" s="13" t="s">
        <v>13</v>
      </c>
      <c r="B30" s="11" t="s">
        <v>5</v>
      </c>
      <c r="C30" s="39">
        <v>380000</v>
      </c>
      <c r="D30" s="12"/>
      <c r="E30" s="39">
        <f t="shared" si="1"/>
        <v>0</v>
      </c>
    </row>
    <row r="31" spans="1:14" ht="22.5" customHeight="1" x14ac:dyDescent="0.15">
      <c r="A31" s="13" t="s">
        <v>14</v>
      </c>
      <c r="B31" s="11" t="s">
        <v>5</v>
      </c>
      <c r="C31" s="39">
        <v>440000</v>
      </c>
      <c r="D31" s="12">
        <v>1</v>
      </c>
      <c r="E31" s="39">
        <f t="shared" si="1"/>
        <v>440000</v>
      </c>
    </row>
    <row r="32" spans="1:14" ht="22.5" customHeight="1" x14ac:dyDescent="0.2">
      <c r="A32" s="6" t="s">
        <v>15</v>
      </c>
      <c r="B32" s="7"/>
      <c r="C32" s="40"/>
      <c r="D32" s="12"/>
      <c r="E32" s="39">
        <f t="shared" si="1"/>
        <v>0</v>
      </c>
    </row>
    <row r="33" spans="1:5" ht="22.5" customHeight="1" x14ac:dyDescent="0.2">
      <c r="A33" s="9" t="s">
        <v>16</v>
      </c>
      <c r="B33" s="7"/>
      <c r="C33" s="40"/>
      <c r="D33" s="12"/>
      <c r="E33" s="39">
        <f t="shared" si="1"/>
        <v>0</v>
      </c>
    </row>
    <row r="34" spans="1:5" ht="22.5" customHeight="1" x14ac:dyDescent="0.15">
      <c r="A34" s="10" t="s">
        <v>60</v>
      </c>
      <c r="B34" s="11" t="s">
        <v>17</v>
      </c>
      <c r="C34" s="39">
        <v>75000</v>
      </c>
      <c r="D34" s="12">
        <f>$D$2</f>
        <v>7</v>
      </c>
      <c r="E34" s="39">
        <f t="shared" si="1"/>
        <v>525000</v>
      </c>
    </row>
    <row r="35" spans="1:5" ht="22.5" customHeight="1" x14ac:dyDescent="0.15">
      <c r="A35" s="13" t="s">
        <v>18</v>
      </c>
      <c r="B35" s="11" t="s">
        <v>17</v>
      </c>
      <c r="C35" s="39">
        <v>55000</v>
      </c>
      <c r="D35" s="12"/>
      <c r="E35" s="39">
        <f t="shared" si="1"/>
        <v>0</v>
      </c>
    </row>
    <row r="36" spans="1:5" ht="22.5" customHeight="1" x14ac:dyDescent="0.15">
      <c r="A36" s="10" t="s">
        <v>19</v>
      </c>
      <c r="B36" s="11" t="s">
        <v>17</v>
      </c>
      <c r="C36" s="39">
        <v>25000</v>
      </c>
      <c r="D36" s="12">
        <f>$D$2</f>
        <v>7</v>
      </c>
      <c r="E36" s="39">
        <f t="shared" si="1"/>
        <v>175000</v>
      </c>
    </row>
    <row r="37" spans="1:5" ht="22.5" customHeight="1" x14ac:dyDescent="0.15">
      <c r="A37" s="10" t="s">
        <v>76</v>
      </c>
      <c r="B37" s="11" t="s">
        <v>5</v>
      </c>
      <c r="C37" s="39">
        <v>250000</v>
      </c>
      <c r="D37" s="12">
        <v>1</v>
      </c>
      <c r="E37" s="39">
        <f t="shared" si="1"/>
        <v>250000</v>
      </c>
    </row>
    <row r="38" spans="1:5" ht="22.5" customHeight="1" x14ac:dyDescent="0.15">
      <c r="A38" s="13" t="s">
        <v>95</v>
      </c>
      <c r="B38" s="11" t="s">
        <v>17</v>
      </c>
      <c r="C38" s="39">
        <v>65000</v>
      </c>
      <c r="D38" s="12"/>
      <c r="E38" s="39">
        <f t="shared" si="1"/>
        <v>0</v>
      </c>
    </row>
    <row r="39" spans="1:5" ht="22.5" customHeight="1" x14ac:dyDescent="0.15">
      <c r="A39" s="13" t="s">
        <v>96</v>
      </c>
      <c r="B39" s="11" t="s">
        <v>17</v>
      </c>
      <c r="C39" s="39">
        <v>65000</v>
      </c>
      <c r="D39" s="12"/>
      <c r="E39" s="39">
        <f t="shared" si="1"/>
        <v>0</v>
      </c>
    </row>
    <row r="40" spans="1:5" ht="22.5" customHeight="1" x14ac:dyDescent="0.15">
      <c r="A40" s="10" t="s">
        <v>57</v>
      </c>
      <c r="B40" s="11" t="s">
        <v>17</v>
      </c>
      <c r="C40" s="39">
        <v>60000</v>
      </c>
      <c r="D40" s="12">
        <f>D2</f>
        <v>7</v>
      </c>
      <c r="E40" s="39">
        <f t="shared" si="1"/>
        <v>420000</v>
      </c>
    </row>
    <row r="41" spans="1:5" ht="22.5" customHeight="1" x14ac:dyDescent="0.15">
      <c r="A41" s="10" t="s">
        <v>58</v>
      </c>
      <c r="B41" s="11" t="s">
        <v>17</v>
      </c>
      <c r="C41" s="39">
        <v>60000</v>
      </c>
      <c r="D41" s="12"/>
      <c r="E41" s="39">
        <f t="shared" si="1"/>
        <v>0</v>
      </c>
    </row>
    <row r="42" spans="1:5" ht="22.5" customHeight="1" x14ac:dyDescent="0.15">
      <c r="A42" s="13" t="s">
        <v>20</v>
      </c>
      <c r="B42" s="11" t="s">
        <v>5</v>
      </c>
      <c r="C42" s="39">
        <v>35000</v>
      </c>
      <c r="D42" s="12"/>
      <c r="E42" s="39">
        <f t="shared" si="1"/>
        <v>0</v>
      </c>
    </row>
    <row r="43" spans="1:5" ht="22.5" customHeight="1" x14ac:dyDescent="0.2">
      <c r="A43" s="9" t="s">
        <v>21</v>
      </c>
      <c r="B43" s="7"/>
      <c r="C43" s="41"/>
      <c r="D43" s="12"/>
      <c r="E43" s="39"/>
    </row>
    <row r="44" spans="1:5" ht="22.5" customHeight="1" x14ac:dyDescent="0.15">
      <c r="A44" s="10" t="s">
        <v>59</v>
      </c>
      <c r="B44" s="11" t="s">
        <v>17</v>
      </c>
      <c r="C44" s="39">
        <v>160000</v>
      </c>
      <c r="D44" s="12">
        <f>D2</f>
        <v>7</v>
      </c>
      <c r="E44" s="39">
        <f t="shared" si="1"/>
        <v>1120000</v>
      </c>
    </row>
    <row r="45" spans="1:5" ht="22.5" customHeight="1" x14ac:dyDescent="0.15">
      <c r="A45" s="13" t="s">
        <v>22</v>
      </c>
      <c r="B45" s="11" t="s">
        <v>17</v>
      </c>
      <c r="C45" s="39">
        <v>500000</v>
      </c>
      <c r="D45" s="12">
        <f>ROUNDUP(D2/4,0)</f>
        <v>2</v>
      </c>
      <c r="E45" s="39">
        <f t="shared" si="1"/>
        <v>1000000</v>
      </c>
    </row>
    <row r="46" spans="1:5" ht="22.5" customHeight="1" x14ac:dyDescent="0.2">
      <c r="A46" s="9" t="s">
        <v>23</v>
      </c>
      <c r="B46" s="7"/>
      <c r="C46" s="41"/>
      <c r="D46" s="12"/>
      <c r="E46" s="39">
        <f t="shared" si="1"/>
        <v>0</v>
      </c>
    </row>
    <row r="47" spans="1:5" ht="22.5" customHeight="1" x14ac:dyDescent="0.15">
      <c r="A47" s="13" t="s">
        <v>24</v>
      </c>
      <c r="B47" s="11" t="s">
        <v>17</v>
      </c>
      <c r="C47" s="39">
        <v>150000</v>
      </c>
      <c r="D47" s="12">
        <f>D2</f>
        <v>7</v>
      </c>
      <c r="E47" s="39">
        <f t="shared" si="1"/>
        <v>1050000</v>
      </c>
    </row>
    <row r="48" spans="1:5" ht="22.5" customHeight="1" x14ac:dyDescent="0.15">
      <c r="A48" s="10" t="s">
        <v>75</v>
      </c>
      <c r="B48" s="11" t="s">
        <v>5</v>
      </c>
      <c r="C48" s="39">
        <v>200000</v>
      </c>
      <c r="D48" s="12">
        <v>1</v>
      </c>
      <c r="E48" s="39">
        <f t="shared" si="1"/>
        <v>200000</v>
      </c>
    </row>
    <row r="49" spans="1:5" ht="22.5" customHeight="1" x14ac:dyDescent="0.15">
      <c r="A49" s="13" t="s">
        <v>25</v>
      </c>
      <c r="B49" s="11" t="s">
        <v>17</v>
      </c>
      <c r="C49" s="39">
        <v>50000</v>
      </c>
      <c r="D49" s="12">
        <f>D2</f>
        <v>7</v>
      </c>
      <c r="E49" s="39">
        <f t="shared" si="1"/>
        <v>350000</v>
      </c>
    </row>
    <row r="50" spans="1:5" ht="22.5" customHeight="1" x14ac:dyDescent="0.15">
      <c r="A50" s="13" t="s">
        <v>26</v>
      </c>
      <c r="B50" s="11" t="s">
        <v>17</v>
      </c>
      <c r="C50" s="39">
        <v>40000</v>
      </c>
      <c r="D50" s="12">
        <f>$D$2</f>
        <v>7</v>
      </c>
      <c r="E50" s="39">
        <f t="shared" si="1"/>
        <v>280000</v>
      </c>
    </row>
    <row r="51" spans="1:5" ht="22.5" customHeight="1" x14ac:dyDescent="0.2">
      <c r="A51" s="16" t="s">
        <v>27</v>
      </c>
      <c r="B51" s="7"/>
      <c r="C51" s="40"/>
      <c r="D51" s="12"/>
      <c r="E51" s="39"/>
    </row>
    <row r="52" spans="1:5" ht="22.5" customHeight="1" x14ac:dyDescent="0.2">
      <c r="A52" s="9" t="s">
        <v>28</v>
      </c>
      <c r="B52" s="7"/>
      <c r="C52" s="40"/>
      <c r="D52" s="12"/>
      <c r="E52" s="39"/>
    </row>
    <row r="53" spans="1:5" ht="22.5" customHeight="1" x14ac:dyDescent="0.15">
      <c r="A53" s="13" t="s">
        <v>29</v>
      </c>
      <c r="B53" s="11" t="s">
        <v>30</v>
      </c>
      <c r="C53" s="39">
        <v>450000</v>
      </c>
      <c r="D53" s="12">
        <f>IF($D$2=1,$C$2, IF($D$2=2,$C$2,0))</f>
        <v>0</v>
      </c>
      <c r="E53" s="39">
        <f t="shared" si="1"/>
        <v>0</v>
      </c>
    </row>
    <row r="54" spans="1:5" ht="22.5" customHeight="1" x14ac:dyDescent="0.15">
      <c r="A54" s="13" t="s">
        <v>31</v>
      </c>
      <c r="B54" s="11" t="s">
        <v>30</v>
      </c>
      <c r="C54" s="39">
        <v>550000</v>
      </c>
      <c r="D54" s="12">
        <f>IF($D$2=3,$C$2, 0)</f>
        <v>0</v>
      </c>
      <c r="E54" s="39">
        <f t="shared" si="1"/>
        <v>0</v>
      </c>
    </row>
    <row r="55" spans="1:5" ht="22.5" customHeight="1" x14ac:dyDescent="0.15">
      <c r="A55" s="10" t="s">
        <v>32</v>
      </c>
      <c r="B55" s="11" t="s">
        <v>30</v>
      </c>
      <c r="C55" s="39">
        <v>1100000</v>
      </c>
      <c r="D55" s="12">
        <f>IF((($D$2&gt;=4)*($D$2&lt;=11))=1,$C$2,0)</f>
        <v>4</v>
      </c>
      <c r="E55" s="39">
        <f t="shared" si="1"/>
        <v>4400000</v>
      </c>
    </row>
    <row r="56" spans="1:5" ht="22.5" customHeight="1" x14ac:dyDescent="0.15">
      <c r="A56" s="13" t="s">
        <v>33</v>
      </c>
      <c r="B56" s="11" t="s">
        <v>30</v>
      </c>
      <c r="C56" s="39">
        <v>1300000</v>
      </c>
      <c r="D56" s="12"/>
      <c r="E56" s="39">
        <f t="shared" si="1"/>
        <v>0</v>
      </c>
    </row>
    <row r="57" spans="1:5" ht="22.5" customHeight="1" x14ac:dyDescent="0.15">
      <c r="A57" s="10" t="s">
        <v>91</v>
      </c>
      <c r="B57" s="11" t="s">
        <v>30</v>
      </c>
      <c r="C57" s="39">
        <v>650000</v>
      </c>
      <c r="D57" s="12">
        <f>IF((($D$2&gt;=10)*($D$2&lt;=11))=1,1,0)</f>
        <v>0</v>
      </c>
      <c r="E57" s="39">
        <f t="shared" si="1"/>
        <v>0</v>
      </c>
    </row>
    <row r="58" spans="1:5" ht="22.5" customHeight="1" x14ac:dyDescent="0.2">
      <c r="A58" s="9" t="s">
        <v>34</v>
      </c>
      <c r="B58" s="7"/>
      <c r="C58" s="40"/>
      <c r="D58" s="12"/>
      <c r="E58" s="39"/>
    </row>
    <row r="59" spans="1:5" ht="22.5" customHeight="1" x14ac:dyDescent="0.15">
      <c r="A59" s="13" t="s">
        <v>35</v>
      </c>
      <c r="B59" s="11" t="s">
        <v>5</v>
      </c>
      <c r="C59" s="39">
        <v>200000</v>
      </c>
      <c r="D59" s="12">
        <f>IF((($D$2&gt;=10)*($D$2&lt;=11))=1,2,1)</f>
        <v>1</v>
      </c>
      <c r="E59" s="39">
        <f t="shared" si="1"/>
        <v>200000</v>
      </c>
    </row>
    <row r="60" spans="1:5" ht="22.5" customHeight="1" x14ac:dyDescent="0.15">
      <c r="A60" s="10" t="s">
        <v>70</v>
      </c>
      <c r="B60" s="11" t="s">
        <v>5</v>
      </c>
      <c r="C60" s="39">
        <v>300000</v>
      </c>
      <c r="D60" s="12"/>
      <c r="E60" s="39">
        <f t="shared" si="1"/>
        <v>0</v>
      </c>
    </row>
    <row r="61" spans="1:5" ht="22.5" customHeight="1" x14ac:dyDescent="0.2">
      <c r="A61" s="9" t="s">
        <v>36</v>
      </c>
      <c r="B61" s="7"/>
      <c r="C61" s="40"/>
      <c r="D61" s="12"/>
      <c r="E61" s="39">
        <f t="shared" si="1"/>
        <v>0</v>
      </c>
    </row>
    <row r="62" spans="1:5" ht="22.5" customHeight="1" x14ac:dyDescent="0.15">
      <c r="A62" s="13" t="s">
        <v>37</v>
      </c>
      <c r="B62" s="11" t="s">
        <v>38</v>
      </c>
      <c r="C62" s="39">
        <v>200000</v>
      </c>
      <c r="D62" s="12"/>
      <c r="E62" s="39">
        <f t="shared" si="1"/>
        <v>0</v>
      </c>
    </row>
    <row r="63" spans="1:5" ht="22.5" customHeight="1" x14ac:dyDescent="0.2">
      <c r="A63" s="15" t="s">
        <v>74</v>
      </c>
      <c r="B63" s="7"/>
      <c r="C63" s="40"/>
      <c r="D63" s="12"/>
      <c r="E63" s="39">
        <f t="shared" si="1"/>
        <v>0</v>
      </c>
    </row>
    <row r="64" spans="1:5" ht="22.5" customHeight="1" x14ac:dyDescent="0.15">
      <c r="A64" s="10" t="s">
        <v>92</v>
      </c>
      <c r="B64" s="11" t="s">
        <v>38</v>
      </c>
      <c r="C64" s="39">
        <v>700000</v>
      </c>
      <c r="D64" s="12">
        <f>IF((($D$2&gt;=1)*($D$2&lt;=3))=1,1,0)</f>
        <v>0</v>
      </c>
      <c r="E64" s="39">
        <f t="shared" si="1"/>
        <v>0</v>
      </c>
    </row>
    <row r="65" spans="1:5" ht="22.5" customHeight="1" x14ac:dyDescent="0.15">
      <c r="A65" s="10" t="s">
        <v>93</v>
      </c>
      <c r="B65" s="11" t="s">
        <v>38</v>
      </c>
      <c r="C65" s="39">
        <v>1100000</v>
      </c>
      <c r="D65" s="12">
        <f>IF((($D$2&gt;=4)*($D$2&lt;=11))=1,1,0)</f>
        <v>1</v>
      </c>
      <c r="E65" s="39">
        <f t="shared" si="1"/>
        <v>1100000</v>
      </c>
    </row>
    <row r="66" spans="1:5" ht="22.5" customHeight="1" x14ac:dyDescent="0.2">
      <c r="A66" s="16" t="s">
        <v>39</v>
      </c>
      <c r="B66" s="7"/>
      <c r="C66" s="40"/>
      <c r="D66" s="12"/>
      <c r="E66" s="39">
        <f t="shared" si="1"/>
        <v>0</v>
      </c>
    </row>
    <row r="67" spans="1:5" ht="22.5" customHeight="1" x14ac:dyDescent="0.2">
      <c r="A67" s="9" t="s">
        <v>40</v>
      </c>
      <c r="B67" s="7"/>
      <c r="C67" s="40"/>
      <c r="D67" s="12"/>
      <c r="E67" s="39">
        <f t="shared" si="1"/>
        <v>0</v>
      </c>
    </row>
    <row r="68" spans="1:5" ht="22.5" customHeight="1" x14ac:dyDescent="0.15">
      <c r="A68" s="13" t="s">
        <v>41</v>
      </c>
      <c r="B68" s="11" t="s">
        <v>30</v>
      </c>
      <c r="C68" s="39">
        <v>250000</v>
      </c>
      <c r="D68" s="12">
        <f>IF((($D$2&gt;=1)*($D$2&lt;=3))=1,$C$2,0)</f>
        <v>0</v>
      </c>
      <c r="E68" s="39">
        <f t="shared" si="1"/>
        <v>0</v>
      </c>
    </row>
    <row r="69" spans="1:5" ht="22.5" customHeight="1" x14ac:dyDescent="0.15">
      <c r="A69" s="10" t="s">
        <v>71</v>
      </c>
      <c r="B69" s="11" t="s">
        <v>30</v>
      </c>
      <c r="C69" s="39">
        <v>250000</v>
      </c>
      <c r="D69" s="12">
        <f>IF((($D$2&gt;=4)*($D$2&lt;=11))=1,$C$2,0)</f>
        <v>4</v>
      </c>
      <c r="E69" s="39">
        <f t="shared" si="1"/>
        <v>1000000</v>
      </c>
    </row>
    <row r="70" spans="1:5" ht="22.5" customHeight="1" x14ac:dyDescent="0.15">
      <c r="A70" s="10" t="s">
        <v>72</v>
      </c>
      <c r="B70" s="11" t="s">
        <v>30</v>
      </c>
      <c r="C70" s="39">
        <v>200000</v>
      </c>
      <c r="D70" s="12"/>
      <c r="E70" s="39">
        <f t="shared" si="1"/>
        <v>0</v>
      </c>
    </row>
    <row r="71" spans="1:5" ht="22.5" customHeight="1" x14ac:dyDescent="0.2">
      <c r="A71" s="16" t="s">
        <v>42</v>
      </c>
      <c r="B71" s="7"/>
      <c r="C71" s="40"/>
      <c r="D71" s="12"/>
      <c r="E71" s="39">
        <f t="shared" si="1"/>
        <v>0</v>
      </c>
    </row>
    <row r="72" spans="1:5" ht="22.5" customHeight="1" x14ac:dyDescent="0.2">
      <c r="A72" s="9" t="s">
        <v>43</v>
      </c>
      <c r="B72" s="7"/>
      <c r="C72" s="40"/>
      <c r="D72" s="12"/>
      <c r="E72" s="39">
        <f t="shared" si="1"/>
        <v>0</v>
      </c>
    </row>
    <row r="73" spans="1:5" ht="22.5" customHeight="1" x14ac:dyDescent="0.15">
      <c r="A73" s="13" t="s">
        <v>44</v>
      </c>
      <c r="B73" s="11" t="s">
        <v>83</v>
      </c>
      <c r="C73" s="39">
        <v>50000</v>
      </c>
      <c r="D73" s="12">
        <f>ROUNDUP(D2*C2*$C$2/24,0)</f>
        <v>5</v>
      </c>
      <c r="E73" s="39">
        <f t="shared" si="1"/>
        <v>250000</v>
      </c>
    </row>
    <row r="74" spans="1:5" ht="22.5" customHeight="1" x14ac:dyDescent="0.15">
      <c r="A74" s="13" t="s">
        <v>46</v>
      </c>
      <c r="B74" s="11" t="s">
        <v>45</v>
      </c>
      <c r="C74" s="39">
        <v>100000</v>
      </c>
      <c r="D74" s="12">
        <v>1</v>
      </c>
      <c r="E74" s="39">
        <f t="shared" si="1"/>
        <v>100000</v>
      </c>
    </row>
    <row r="75" spans="1:5" ht="22.5" customHeight="1" x14ac:dyDescent="0.15">
      <c r="A75" s="13" t="s">
        <v>47</v>
      </c>
      <c r="B75" s="11" t="s">
        <v>17</v>
      </c>
      <c r="C75" s="39">
        <v>60000</v>
      </c>
      <c r="D75" s="12">
        <f>D2</f>
        <v>7</v>
      </c>
      <c r="E75" s="39">
        <f t="shared" ref="E75:E79" si="2">C75*D75</f>
        <v>420000</v>
      </c>
    </row>
    <row r="76" spans="1:5" ht="22.5" customHeight="1" x14ac:dyDescent="0.2">
      <c r="A76" s="9" t="s">
        <v>48</v>
      </c>
      <c r="B76" s="7"/>
      <c r="C76" s="14"/>
      <c r="D76" s="12"/>
      <c r="E76" s="39">
        <f t="shared" si="2"/>
        <v>0</v>
      </c>
    </row>
    <row r="77" spans="1:5" ht="22.5" customHeight="1" x14ac:dyDescent="0.15">
      <c r="A77" s="13" t="s">
        <v>49</v>
      </c>
      <c r="B77" s="11" t="s">
        <v>38</v>
      </c>
      <c r="C77" s="12">
        <v>2000000</v>
      </c>
      <c r="D77" s="12"/>
      <c r="E77" s="39">
        <f t="shared" si="2"/>
        <v>0</v>
      </c>
    </row>
    <row r="78" spans="1:5" ht="22.5" customHeight="1" x14ac:dyDescent="0.2">
      <c r="A78" s="9" t="s">
        <v>50</v>
      </c>
      <c r="B78" s="7"/>
      <c r="C78" s="14"/>
      <c r="D78" s="12"/>
      <c r="E78" s="39">
        <f t="shared" si="2"/>
        <v>0</v>
      </c>
    </row>
    <row r="79" spans="1:5" ht="22.5" customHeight="1" x14ac:dyDescent="0.15">
      <c r="A79" s="13" t="s">
        <v>51</v>
      </c>
      <c r="B79" s="11" t="s">
        <v>17</v>
      </c>
      <c r="C79" s="12">
        <v>16000</v>
      </c>
      <c r="D79" s="12">
        <f>D2</f>
        <v>7</v>
      </c>
      <c r="E79" s="39">
        <f t="shared" si="2"/>
        <v>112000</v>
      </c>
    </row>
    <row r="80" spans="1:5" ht="22.5" customHeight="1" x14ac:dyDescent="0.15">
      <c r="A80" s="10" t="s">
        <v>61</v>
      </c>
      <c r="B80" s="11" t="s">
        <v>5</v>
      </c>
      <c r="C80" s="12">
        <v>100000</v>
      </c>
      <c r="D80" s="12">
        <v>1</v>
      </c>
      <c r="E80" s="39">
        <f>C80*D80</f>
        <v>100000</v>
      </c>
    </row>
    <row r="81" spans="1:5" s="1" customFormat="1" ht="30" customHeight="1" x14ac:dyDescent="0.15">
      <c r="A81" s="18" t="s">
        <v>84</v>
      </c>
      <c r="B81" s="17"/>
      <c r="C81" s="5"/>
      <c r="D81" s="12"/>
      <c r="E81" s="42">
        <f>SUM(E7:E80)</f>
        <v>18212000</v>
      </c>
    </row>
    <row r="82" spans="1:5" ht="36" customHeight="1" x14ac:dyDescent="0.15">
      <c r="A82" s="18" t="s">
        <v>88</v>
      </c>
      <c r="B82" s="8"/>
      <c r="C82" s="8"/>
      <c r="D82" s="8"/>
      <c r="E82" s="42">
        <f>E81/D2</f>
        <v>2601714.2857142859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C8BF3-7E14-42A4-8CB0-CB29546C0B1B}">
  <sheetPr>
    <pageSetUpPr fitToPage="1"/>
  </sheetPr>
  <dimension ref="A1:N82"/>
  <sheetViews>
    <sheetView topLeftCell="A57" zoomScale="70" zoomScaleNormal="70" workbookViewId="0">
      <selection activeCell="D3" sqref="D3"/>
    </sheetView>
  </sheetViews>
  <sheetFormatPr baseColWidth="10" defaultColWidth="9" defaultRowHeight="13" x14ac:dyDescent="0.15"/>
  <cols>
    <col min="1" max="1" width="103.19921875" bestFit="1" customWidth="1"/>
    <col min="2" max="2" width="23.19921875" customWidth="1"/>
    <col min="3" max="3" width="29.19921875" customWidth="1"/>
    <col min="4" max="4" width="24.19921875" customWidth="1"/>
    <col min="5" max="5" width="25.3984375" customWidth="1"/>
    <col min="8" max="8" width="7" bestFit="1" customWidth="1"/>
    <col min="9" max="10" width="20.796875" bestFit="1" customWidth="1"/>
    <col min="11" max="11" width="18.59765625" bestFit="1" customWidth="1"/>
    <col min="12" max="12" width="20.3984375" bestFit="1" customWidth="1"/>
    <col min="13" max="13" width="18.59765625" bestFit="1" customWidth="1"/>
    <col min="14" max="14" width="27.3984375" bestFit="1" customWidth="1"/>
  </cols>
  <sheetData>
    <row r="1" spans="1:5" ht="25.5" customHeight="1" x14ac:dyDescent="0.15">
      <c r="A1" s="2" t="s">
        <v>77</v>
      </c>
      <c r="B1" s="2" t="s">
        <v>78</v>
      </c>
      <c r="C1" s="2" t="s">
        <v>79</v>
      </c>
      <c r="D1" s="2" t="s">
        <v>80</v>
      </c>
    </row>
    <row r="2" spans="1:5" ht="27.75" customHeight="1" x14ac:dyDescent="0.15">
      <c r="A2" s="3" t="s">
        <v>94</v>
      </c>
      <c r="B2" s="3">
        <v>54</v>
      </c>
      <c r="C2" s="3">
        <v>4</v>
      </c>
      <c r="D2" s="43">
        <v>8</v>
      </c>
    </row>
    <row r="3" spans="1:5" ht="27.75" customHeight="1" x14ac:dyDescent="0.15">
      <c r="A3" s="4"/>
      <c r="B3" s="4"/>
      <c r="C3" s="4"/>
    </row>
    <row r="4" spans="1:5" ht="35.25" customHeight="1" x14ac:dyDescent="0.15">
      <c r="A4" s="5" t="s">
        <v>0</v>
      </c>
      <c r="B4" s="5" t="s">
        <v>1</v>
      </c>
      <c r="C4" s="5" t="s">
        <v>2</v>
      </c>
      <c r="D4" s="5" t="s">
        <v>81</v>
      </c>
      <c r="E4" s="5" t="s">
        <v>82</v>
      </c>
    </row>
    <row r="5" spans="1:5" ht="22.5" customHeight="1" x14ac:dyDescent="0.2">
      <c r="A5" s="6" t="s">
        <v>3</v>
      </c>
      <c r="B5" s="7"/>
      <c r="C5" s="7"/>
      <c r="D5" s="8"/>
      <c r="E5" s="8"/>
    </row>
    <row r="6" spans="1:5" ht="22.5" customHeight="1" x14ac:dyDescent="0.2">
      <c r="A6" s="9" t="s">
        <v>4</v>
      </c>
      <c r="B6" s="7"/>
      <c r="C6" s="7"/>
      <c r="D6" s="8"/>
      <c r="E6" s="8"/>
    </row>
    <row r="7" spans="1:5" ht="22.5" customHeight="1" x14ac:dyDescent="0.15">
      <c r="A7" s="10" t="s">
        <v>97</v>
      </c>
      <c r="B7" s="11" t="s">
        <v>5</v>
      </c>
      <c r="C7" s="39">
        <v>500000</v>
      </c>
      <c r="D7" s="12">
        <f>ROUNDUP($D$2/2,0)</f>
        <v>4</v>
      </c>
      <c r="E7" s="39">
        <f t="shared" ref="E7:E9" si="0">C7*D7</f>
        <v>2000000</v>
      </c>
    </row>
    <row r="8" spans="1:5" ht="22.5" customHeight="1" x14ac:dyDescent="0.15">
      <c r="A8" s="10" t="s">
        <v>98</v>
      </c>
      <c r="B8" s="11" t="s">
        <v>5</v>
      </c>
      <c r="C8" s="39">
        <v>250000</v>
      </c>
      <c r="D8" s="12"/>
      <c r="E8" s="39">
        <f t="shared" si="0"/>
        <v>0</v>
      </c>
    </row>
    <row r="9" spans="1:5" ht="22.5" customHeight="1" x14ac:dyDescent="0.15">
      <c r="A9" s="10" t="s">
        <v>73</v>
      </c>
      <c r="B9" s="11" t="s">
        <v>5</v>
      </c>
      <c r="C9" s="39">
        <v>560000</v>
      </c>
      <c r="D9" s="12"/>
      <c r="E9" s="39">
        <f t="shared" si="0"/>
        <v>0</v>
      </c>
    </row>
    <row r="10" spans="1:5" ht="22.5" hidden="1" customHeight="1" x14ac:dyDescent="0.15">
      <c r="A10" s="13" t="s">
        <v>6</v>
      </c>
      <c r="B10" s="11" t="s">
        <v>5</v>
      </c>
      <c r="C10" s="39">
        <v>435000</v>
      </c>
      <c r="D10" s="12"/>
      <c r="E10" s="39">
        <f>C10*D10</f>
        <v>0</v>
      </c>
    </row>
    <row r="11" spans="1:5" ht="22.5" hidden="1" customHeight="1" x14ac:dyDescent="0.15">
      <c r="A11" s="13" t="s">
        <v>7</v>
      </c>
      <c r="B11" s="11" t="s">
        <v>5</v>
      </c>
      <c r="C11" s="39">
        <v>300000</v>
      </c>
      <c r="D11" s="12"/>
      <c r="E11" s="39">
        <f t="shared" ref="E11:E74" si="1">C11*D11</f>
        <v>0</v>
      </c>
    </row>
    <row r="12" spans="1:5" ht="22.5" hidden="1" customHeight="1" x14ac:dyDescent="0.15">
      <c r="A12" s="10" t="s">
        <v>52</v>
      </c>
      <c r="B12" s="11" t="s">
        <v>5</v>
      </c>
      <c r="C12" s="39">
        <v>250000</v>
      </c>
      <c r="D12" s="12"/>
      <c r="E12" s="39">
        <f t="shared" si="1"/>
        <v>0</v>
      </c>
    </row>
    <row r="13" spans="1:5" ht="22.5" hidden="1" customHeight="1" x14ac:dyDescent="0.15">
      <c r="A13" s="10" t="s">
        <v>53</v>
      </c>
      <c r="B13" s="11" t="s">
        <v>5</v>
      </c>
      <c r="C13" s="39">
        <v>275000</v>
      </c>
      <c r="D13" s="12"/>
      <c r="E13" s="39">
        <f t="shared" si="1"/>
        <v>0</v>
      </c>
    </row>
    <row r="14" spans="1:5" ht="22.5" hidden="1" customHeight="1" x14ac:dyDescent="0.15">
      <c r="A14" s="10" t="s">
        <v>54</v>
      </c>
      <c r="B14" s="11" t="s">
        <v>5</v>
      </c>
      <c r="C14" s="39">
        <v>450000</v>
      </c>
      <c r="D14" s="12"/>
      <c r="E14" s="39">
        <f t="shared" si="1"/>
        <v>0</v>
      </c>
    </row>
    <row r="15" spans="1:5" ht="22.5" hidden="1" customHeight="1" x14ac:dyDescent="0.15">
      <c r="A15" s="10" t="s">
        <v>55</v>
      </c>
      <c r="B15" s="11" t="s">
        <v>5</v>
      </c>
      <c r="C15" s="39">
        <v>450000</v>
      </c>
      <c r="D15" s="12"/>
      <c r="E15" s="39">
        <f t="shared" si="1"/>
        <v>0</v>
      </c>
    </row>
    <row r="16" spans="1:5" ht="22.5" hidden="1" customHeight="1" x14ac:dyDescent="0.15">
      <c r="A16" s="10" t="s">
        <v>65</v>
      </c>
      <c r="B16" s="11" t="s">
        <v>5</v>
      </c>
      <c r="C16" s="39">
        <v>337500</v>
      </c>
      <c r="D16" s="12"/>
      <c r="E16" s="39">
        <f t="shared" si="1"/>
        <v>0</v>
      </c>
    </row>
    <row r="17" spans="1:14" ht="22.5" hidden="1" customHeight="1" x14ac:dyDescent="0.2">
      <c r="A17" s="10" t="s">
        <v>67</v>
      </c>
      <c r="B17" s="11" t="s">
        <v>5</v>
      </c>
      <c r="C17" s="39">
        <v>375000</v>
      </c>
      <c r="D17" s="12"/>
      <c r="E17" s="39">
        <f t="shared" si="1"/>
        <v>0</v>
      </c>
      <c r="H17" s="36"/>
      <c r="I17" s="37"/>
      <c r="J17" s="37"/>
      <c r="K17" s="38"/>
      <c r="L17" s="38"/>
      <c r="M17" s="38"/>
      <c r="N17" s="38"/>
    </row>
    <row r="18" spans="1:14" ht="22.5" hidden="1" customHeight="1" x14ac:dyDescent="0.2">
      <c r="A18" s="10" t="s">
        <v>66</v>
      </c>
      <c r="B18" s="11" t="s">
        <v>5</v>
      </c>
      <c r="C18" s="39">
        <v>412500</v>
      </c>
      <c r="D18" s="12"/>
      <c r="E18" s="39">
        <f t="shared" si="1"/>
        <v>0</v>
      </c>
      <c r="H18" s="36"/>
      <c r="I18" s="37"/>
      <c r="J18" s="37"/>
      <c r="K18" s="38"/>
      <c r="L18" s="38"/>
      <c r="M18" s="38"/>
      <c r="N18" s="38"/>
    </row>
    <row r="19" spans="1:14" ht="22.5" hidden="1" customHeight="1" x14ac:dyDescent="0.2">
      <c r="A19" s="10" t="s">
        <v>68</v>
      </c>
      <c r="B19" s="11" t="s">
        <v>5</v>
      </c>
      <c r="C19" s="39">
        <v>487500</v>
      </c>
      <c r="D19" s="12"/>
      <c r="E19" s="39">
        <f t="shared" si="1"/>
        <v>0</v>
      </c>
      <c r="H19" s="36"/>
      <c r="I19" s="37"/>
      <c r="J19" s="37"/>
      <c r="K19" s="38"/>
      <c r="L19" s="38"/>
      <c r="M19" s="38"/>
      <c r="N19" s="38"/>
    </row>
    <row r="20" spans="1:14" ht="22.5" hidden="1" customHeight="1" x14ac:dyDescent="0.2">
      <c r="A20" s="10" t="s">
        <v>69</v>
      </c>
      <c r="B20" s="11" t="s">
        <v>5</v>
      </c>
      <c r="C20" s="39">
        <v>562500</v>
      </c>
      <c r="D20" s="12"/>
      <c r="E20" s="39">
        <f t="shared" si="1"/>
        <v>0</v>
      </c>
      <c r="H20" s="36"/>
      <c r="I20" s="37"/>
      <c r="J20" s="37"/>
      <c r="K20" s="38"/>
      <c r="L20" s="38"/>
      <c r="M20" s="38"/>
      <c r="N20" s="38"/>
    </row>
    <row r="21" spans="1:14" ht="22.5" customHeight="1" x14ac:dyDescent="0.2">
      <c r="A21" s="9" t="s">
        <v>8</v>
      </c>
      <c r="B21" s="7"/>
      <c r="C21" s="40"/>
      <c r="D21" s="12"/>
      <c r="E21" s="39"/>
    </row>
    <row r="22" spans="1:14" ht="22.5" customHeight="1" x14ac:dyDescent="0.15">
      <c r="A22" s="10" t="s">
        <v>62</v>
      </c>
      <c r="B22" s="11" t="s">
        <v>5</v>
      </c>
      <c r="C22" s="39">
        <v>750000</v>
      </c>
      <c r="D22" s="12">
        <f>ROUNDUP(D2/2,0)</f>
        <v>4</v>
      </c>
      <c r="E22" s="39">
        <f t="shared" si="1"/>
        <v>3000000</v>
      </c>
    </row>
    <row r="23" spans="1:14" ht="22.5" customHeight="1" x14ac:dyDescent="0.15">
      <c r="A23" s="10" t="s">
        <v>63</v>
      </c>
      <c r="B23" s="11" t="s">
        <v>5</v>
      </c>
      <c r="C23" s="39">
        <v>950000</v>
      </c>
      <c r="D23" s="12"/>
      <c r="E23" s="39">
        <f t="shared" si="1"/>
        <v>0</v>
      </c>
    </row>
    <row r="24" spans="1:14" ht="22.5" customHeight="1" x14ac:dyDescent="0.15">
      <c r="A24" s="10" t="s">
        <v>64</v>
      </c>
      <c r="B24" s="11" t="s">
        <v>5</v>
      </c>
      <c r="C24" s="39">
        <v>300000</v>
      </c>
      <c r="D24" s="12"/>
      <c r="E24" s="39">
        <f t="shared" si="1"/>
        <v>0</v>
      </c>
    </row>
    <row r="25" spans="1:14" ht="22.5" customHeight="1" x14ac:dyDescent="0.2">
      <c r="A25" s="9" t="s">
        <v>9</v>
      </c>
      <c r="B25" s="7"/>
      <c r="C25" s="40"/>
      <c r="D25" s="12"/>
      <c r="E25" s="39">
        <f t="shared" si="1"/>
        <v>0</v>
      </c>
    </row>
    <row r="26" spans="1:14" ht="22.5" customHeight="1" x14ac:dyDescent="0.15">
      <c r="A26" s="10" t="s">
        <v>56</v>
      </c>
      <c r="B26" s="11" t="s">
        <v>5</v>
      </c>
      <c r="C26" s="39">
        <v>425000</v>
      </c>
      <c r="D26" s="12"/>
      <c r="E26" s="39">
        <f t="shared" si="1"/>
        <v>0</v>
      </c>
    </row>
    <row r="27" spans="1:14" ht="22.5" customHeight="1" x14ac:dyDescent="0.15">
      <c r="A27" s="10" t="s">
        <v>10</v>
      </c>
      <c r="B27" s="11" t="s">
        <v>5</v>
      </c>
      <c r="C27" s="39">
        <v>260000</v>
      </c>
      <c r="D27" s="12">
        <f>ROUNDUP($D$2/2,0)</f>
        <v>4</v>
      </c>
      <c r="E27" s="39">
        <f t="shared" si="1"/>
        <v>1040000</v>
      </c>
    </row>
    <row r="28" spans="1:14" ht="22.5" customHeight="1" x14ac:dyDescent="0.15">
      <c r="A28" s="10" t="s">
        <v>11</v>
      </c>
      <c r="B28" s="11" t="s">
        <v>5</v>
      </c>
      <c r="C28" s="39">
        <v>300000</v>
      </c>
      <c r="D28" s="12"/>
      <c r="E28" s="39">
        <f t="shared" si="1"/>
        <v>0</v>
      </c>
    </row>
    <row r="29" spans="1:14" ht="22.5" customHeight="1" x14ac:dyDescent="0.15">
      <c r="A29" s="13" t="s">
        <v>12</v>
      </c>
      <c r="B29" s="11" t="s">
        <v>5</v>
      </c>
      <c r="C29" s="39">
        <v>316000</v>
      </c>
      <c r="D29" s="12"/>
      <c r="E29" s="39">
        <f t="shared" si="1"/>
        <v>0</v>
      </c>
    </row>
    <row r="30" spans="1:14" ht="22.5" customHeight="1" x14ac:dyDescent="0.15">
      <c r="A30" s="13" t="s">
        <v>13</v>
      </c>
      <c r="B30" s="11" t="s">
        <v>5</v>
      </c>
      <c r="C30" s="39">
        <v>380000</v>
      </c>
      <c r="D30" s="12"/>
      <c r="E30" s="39">
        <f t="shared" si="1"/>
        <v>0</v>
      </c>
    </row>
    <row r="31" spans="1:14" ht="22.5" customHeight="1" x14ac:dyDescent="0.15">
      <c r="A31" s="13" t="s">
        <v>14</v>
      </c>
      <c r="B31" s="11" t="s">
        <v>5</v>
      </c>
      <c r="C31" s="39">
        <v>440000</v>
      </c>
      <c r="D31" s="12"/>
      <c r="E31" s="39">
        <f t="shared" si="1"/>
        <v>0</v>
      </c>
    </row>
    <row r="32" spans="1:14" ht="22.5" customHeight="1" x14ac:dyDescent="0.2">
      <c r="A32" s="6" t="s">
        <v>15</v>
      </c>
      <c r="B32" s="7"/>
      <c r="C32" s="40"/>
      <c r="D32" s="12"/>
      <c r="E32" s="39">
        <f t="shared" si="1"/>
        <v>0</v>
      </c>
    </row>
    <row r="33" spans="1:5" ht="22.5" customHeight="1" x14ac:dyDescent="0.2">
      <c r="A33" s="9" t="s">
        <v>16</v>
      </c>
      <c r="B33" s="7"/>
      <c r="C33" s="40"/>
      <c r="D33" s="12"/>
      <c r="E33" s="39">
        <f t="shared" si="1"/>
        <v>0</v>
      </c>
    </row>
    <row r="34" spans="1:5" ht="22.5" customHeight="1" x14ac:dyDescent="0.15">
      <c r="A34" s="10" t="s">
        <v>60</v>
      </c>
      <c r="B34" s="11" t="s">
        <v>17</v>
      </c>
      <c r="C34" s="39">
        <v>75000</v>
      </c>
      <c r="D34" s="12">
        <f>$D$2</f>
        <v>8</v>
      </c>
      <c r="E34" s="39">
        <f t="shared" si="1"/>
        <v>600000</v>
      </c>
    </row>
    <row r="35" spans="1:5" ht="22.5" customHeight="1" x14ac:dyDescent="0.15">
      <c r="A35" s="13" t="s">
        <v>18</v>
      </c>
      <c r="B35" s="11" t="s">
        <v>17</v>
      </c>
      <c r="C35" s="39">
        <v>55000</v>
      </c>
      <c r="D35" s="12"/>
      <c r="E35" s="39">
        <f t="shared" si="1"/>
        <v>0</v>
      </c>
    </row>
    <row r="36" spans="1:5" ht="22.5" customHeight="1" x14ac:dyDescent="0.15">
      <c r="A36" s="10" t="s">
        <v>19</v>
      </c>
      <c r="B36" s="11" t="s">
        <v>17</v>
      </c>
      <c r="C36" s="39">
        <v>25000</v>
      </c>
      <c r="D36" s="12">
        <f>$D$2</f>
        <v>8</v>
      </c>
      <c r="E36" s="39">
        <f t="shared" si="1"/>
        <v>200000</v>
      </c>
    </row>
    <row r="37" spans="1:5" ht="22.5" customHeight="1" x14ac:dyDescent="0.15">
      <c r="A37" s="10" t="s">
        <v>76</v>
      </c>
      <c r="B37" s="11" t="s">
        <v>5</v>
      </c>
      <c r="C37" s="39">
        <v>250000</v>
      </c>
      <c r="D37" s="12">
        <v>1</v>
      </c>
      <c r="E37" s="39">
        <f t="shared" si="1"/>
        <v>250000</v>
      </c>
    </row>
    <row r="38" spans="1:5" ht="22.5" customHeight="1" x14ac:dyDescent="0.15">
      <c r="A38" s="13" t="s">
        <v>95</v>
      </c>
      <c r="B38" s="11" t="s">
        <v>17</v>
      </c>
      <c r="C38" s="39">
        <v>65000</v>
      </c>
      <c r="D38" s="12"/>
      <c r="E38" s="39">
        <f t="shared" si="1"/>
        <v>0</v>
      </c>
    </row>
    <row r="39" spans="1:5" ht="22.5" customHeight="1" x14ac:dyDescent="0.15">
      <c r="A39" s="13" t="s">
        <v>96</v>
      </c>
      <c r="B39" s="11" t="s">
        <v>17</v>
      </c>
      <c r="C39" s="39">
        <v>65000</v>
      </c>
      <c r="D39" s="12"/>
      <c r="E39" s="39">
        <f t="shared" si="1"/>
        <v>0</v>
      </c>
    </row>
    <row r="40" spans="1:5" ht="22.5" customHeight="1" x14ac:dyDescent="0.15">
      <c r="A40" s="10" t="s">
        <v>57</v>
      </c>
      <c r="B40" s="11" t="s">
        <v>17</v>
      </c>
      <c r="C40" s="39">
        <v>60000</v>
      </c>
      <c r="D40" s="12">
        <f>D2</f>
        <v>8</v>
      </c>
      <c r="E40" s="39">
        <f t="shared" si="1"/>
        <v>480000</v>
      </c>
    </row>
    <row r="41" spans="1:5" ht="22.5" customHeight="1" x14ac:dyDescent="0.15">
      <c r="A41" s="10" t="s">
        <v>58</v>
      </c>
      <c r="B41" s="11" t="s">
        <v>17</v>
      </c>
      <c r="C41" s="39">
        <v>60000</v>
      </c>
      <c r="D41" s="12"/>
      <c r="E41" s="39">
        <f t="shared" si="1"/>
        <v>0</v>
      </c>
    </row>
    <row r="42" spans="1:5" ht="22.5" customHeight="1" x14ac:dyDescent="0.15">
      <c r="A42" s="13" t="s">
        <v>20</v>
      </c>
      <c r="B42" s="11" t="s">
        <v>5</v>
      </c>
      <c r="C42" s="39">
        <v>35000</v>
      </c>
      <c r="D42" s="12"/>
      <c r="E42" s="39">
        <f t="shared" si="1"/>
        <v>0</v>
      </c>
    </row>
    <row r="43" spans="1:5" ht="22.5" customHeight="1" x14ac:dyDescent="0.2">
      <c r="A43" s="9" t="s">
        <v>21</v>
      </c>
      <c r="B43" s="7"/>
      <c r="C43" s="41"/>
      <c r="D43" s="12"/>
      <c r="E43" s="39"/>
    </row>
    <row r="44" spans="1:5" ht="22.5" customHeight="1" x14ac:dyDescent="0.15">
      <c r="A44" s="10" t="s">
        <v>59</v>
      </c>
      <c r="B44" s="11" t="s">
        <v>17</v>
      </c>
      <c r="C44" s="39">
        <v>160000</v>
      </c>
      <c r="D44" s="12">
        <f>D2</f>
        <v>8</v>
      </c>
      <c r="E44" s="39">
        <f t="shared" si="1"/>
        <v>1280000</v>
      </c>
    </row>
    <row r="45" spans="1:5" ht="22.5" customHeight="1" x14ac:dyDescent="0.15">
      <c r="A45" s="13" t="s">
        <v>22</v>
      </c>
      <c r="B45" s="11" t="s">
        <v>17</v>
      </c>
      <c r="C45" s="39">
        <v>500000</v>
      </c>
      <c r="D45" s="12">
        <f>ROUNDUP(D2/4,0)</f>
        <v>2</v>
      </c>
      <c r="E45" s="39">
        <f t="shared" si="1"/>
        <v>1000000</v>
      </c>
    </row>
    <row r="46" spans="1:5" ht="22.5" customHeight="1" x14ac:dyDescent="0.2">
      <c r="A46" s="9" t="s">
        <v>23</v>
      </c>
      <c r="B46" s="7"/>
      <c r="C46" s="41"/>
      <c r="D46" s="12"/>
      <c r="E46" s="39">
        <f t="shared" si="1"/>
        <v>0</v>
      </c>
    </row>
    <row r="47" spans="1:5" ht="22.5" customHeight="1" x14ac:dyDescent="0.15">
      <c r="A47" s="13" t="s">
        <v>24</v>
      </c>
      <c r="B47" s="11" t="s">
        <v>17</v>
      </c>
      <c r="C47" s="39">
        <v>150000</v>
      </c>
      <c r="D47" s="12">
        <f>D2</f>
        <v>8</v>
      </c>
      <c r="E47" s="39">
        <f t="shared" si="1"/>
        <v>1200000</v>
      </c>
    </row>
    <row r="48" spans="1:5" ht="22.5" customHeight="1" x14ac:dyDescent="0.15">
      <c r="A48" s="10" t="s">
        <v>75</v>
      </c>
      <c r="B48" s="11" t="s">
        <v>5</v>
      </c>
      <c r="C48" s="39">
        <v>200000</v>
      </c>
      <c r="D48" s="12">
        <v>1</v>
      </c>
      <c r="E48" s="39">
        <f t="shared" si="1"/>
        <v>200000</v>
      </c>
    </row>
    <row r="49" spans="1:5" ht="22.5" customHeight="1" x14ac:dyDescent="0.15">
      <c r="A49" s="13" t="s">
        <v>25</v>
      </c>
      <c r="B49" s="11" t="s">
        <v>17</v>
      </c>
      <c r="C49" s="39">
        <v>50000</v>
      </c>
      <c r="D49" s="12">
        <f>D2</f>
        <v>8</v>
      </c>
      <c r="E49" s="39">
        <f t="shared" si="1"/>
        <v>400000</v>
      </c>
    </row>
    <row r="50" spans="1:5" ht="22.5" customHeight="1" x14ac:dyDescent="0.15">
      <c r="A50" s="13" t="s">
        <v>26</v>
      </c>
      <c r="B50" s="11" t="s">
        <v>17</v>
      </c>
      <c r="C50" s="39">
        <v>40000</v>
      </c>
      <c r="D50" s="12">
        <f>$D$2</f>
        <v>8</v>
      </c>
      <c r="E50" s="39">
        <f t="shared" si="1"/>
        <v>320000</v>
      </c>
    </row>
    <row r="51" spans="1:5" ht="22.5" customHeight="1" x14ac:dyDescent="0.2">
      <c r="A51" s="16" t="s">
        <v>27</v>
      </c>
      <c r="B51" s="7"/>
      <c r="C51" s="40"/>
      <c r="D51" s="12"/>
      <c r="E51" s="39"/>
    </row>
    <row r="52" spans="1:5" ht="22.5" customHeight="1" x14ac:dyDescent="0.2">
      <c r="A52" s="9" t="s">
        <v>28</v>
      </c>
      <c r="B52" s="7"/>
      <c r="C52" s="40"/>
      <c r="D52" s="12"/>
      <c r="E52" s="39"/>
    </row>
    <row r="53" spans="1:5" ht="22.5" customHeight="1" x14ac:dyDescent="0.15">
      <c r="A53" s="13" t="s">
        <v>29</v>
      </c>
      <c r="B53" s="11" t="s">
        <v>30</v>
      </c>
      <c r="C53" s="39">
        <v>450000</v>
      </c>
      <c r="D53" s="12">
        <f>IF($D$2=1,$C$2, IF($D$2=2,$C$2,0))</f>
        <v>0</v>
      </c>
      <c r="E53" s="39">
        <f t="shared" si="1"/>
        <v>0</v>
      </c>
    </row>
    <row r="54" spans="1:5" ht="22.5" customHeight="1" x14ac:dyDescent="0.15">
      <c r="A54" s="13" t="s">
        <v>31</v>
      </c>
      <c r="B54" s="11" t="s">
        <v>30</v>
      </c>
      <c r="C54" s="39">
        <v>550000</v>
      </c>
      <c r="D54" s="12">
        <f>IF($D$2=3,$C$2, 0)</f>
        <v>0</v>
      </c>
      <c r="E54" s="39">
        <f t="shared" si="1"/>
        <v>0</v>
      </c>
    </row>
    <row r="55" spans="1:5" ht="22.5" customHeight="1" x14ac:dyDescent="0.15">
      <c r="A55" s="10" t="s">
        <v>32</v>
      </c>
      <c r="B55" s="11" t="s">
        <v>30</v>
      </c>
      <c r="C55" s="39">
        <v>1100000</v>
      </c>
      <c r="D55" s="12">
        <f>IF((($D$2&gt;=4)*($D$2&lt;=11))=1,$C$2,0)</f>
        <v>4</v>
      </c>
      <c r="E55" s="39">
        <f t="shared" si="1"/>
        <v>4400000</v>
      </c>
    </row>
    <row r="56" spans="1:5" ht="22.5" customHeight="1" x14ac:dyDescent="0.15">
      <c r="A56" s="13" t="s">
        <v>33</v>
      </c>
      <c r="B56" s="11" t="s">
        <v>30</v>
      </c>
      <c r="C56" s="39">
        <v>1300000</v>
      </c>
      <c r="D56" s="12"/>
      <c r="E56" s="39">
        <f t="shared" si="1"/>
        <v>0</v>
      </c>
    </row>
    <row r="57" spans="1:5" ht="22.5" customHeight="1" x14ac:dyDescent="0.15">
      <c r="A57" s="10" t="s">
        <v>91</v>
      </c>
      <c r="B57" s="11" t="s">
        <v>30</v>
      </c>
      <c r="C57" s="39">
        <v>650000</v>
      </c>
      <c r="D57" s="12">
        <f>IF((($D$2&gt;=10)*($D$2&lt;=11))=1,1,0)</f>
        <v>0</v>
      </c>
      <c r="E57" s="39">
        <f t="shared" si="1"/>
        <v>0</v>
      </c>
    </row>
    <row r="58" spans="1:5" ht="22.5" customHeight="1" x14ac:dyDescent="0.2">
      <c r="A58" s="9" t="s">
        <v>34</v>
      </c>
      <c r="B58" s="7"/>
      <c r="C58" s="40"/>
      <c r="D58" s="12"/>
      <c r="E58" s="39"/>
    </row>
    <row r="59" spans="1:5" ht="22.5" customHeight="1" x14ac:dyDescent="0.15">
      <c r="A59" s="13" t="s">
        <v>35</v>
      </c>
      <c r="B59" s="11" t="s">
        <v>5</v>
      </c>
      <c r="C59" s="39">
        <v>200000</v>
      </c>
      <c r="D59" s="12">
        <f>IF((($D$2&gt;=10)*($D$2&lt;=11))=1,2,1)</f>
        <v>1</v>
      </c>
      <c r="E59" s="39">
        <f t="shared" si="1"/>
        <v>200000</v>
      </c>
    </row>
    <row r="60" spans="1:5" ht="22.5" customHeight="1" x14ac:dyDescent="0.15">
      <c r="A60" s="10" t="s">
        <v>70</v>
      </c>
      <c r="B60" s="11" t="s">
        <v>5</v>
      </c>
      <c r="C60" s="39">
        <v>300000</v>
      </c>
      <c r="D60" s="12"/>
      <c r="E60" s="39">
        <f t="shared" si="1"/>
        <v>0</v>
      </c>
    </row>
    <row r="61" spans="1:5" ht="22.5" customHeight="1" x14ac:dyDescent="0.2">
      <c r="A61" s="9" t="s">
        <v>36</v>
      </c>
      <c r="B61" s="7"/>
      <c r="C61" s="40"/>
      <c r="D61" s="12"/>
      <c r="E61" s="39">
        <f t="shared" si="1"/>
        <v>0</v>
      </c>
    </row>
    <row r="62" spans="1:5" ht="22.5" customHeight="1" x14ac:dyDescent="0.15">
      <c r="A62" s="13" t="s">
        <v>37</v>
      </c>
      <c r="B62" s="11" t="s">
        <v>38</v>
      </c>
      <c r="C62" s="39">
        <v>200000</v>
      </c>
      <c r="D62" s="12"/>
      <c r="E62" s="39">
        <f t="shared" si="1"/>
        <v>0</v>
      </c>
    </row>
    <row r="63" spans="1:5" ht="22.5" customHeight="1" x14ac:dyDescent="0.2">
      <c r="A63" s="15" t="s">
        <v>74</v>
      </c>
      <c r="B63" s="7"/>
      <c r="C63" s="40"/>
      <c r="D63" s="12"/>
      <c r="E63" s="39">
        <f t="shared" si="1"/>
        <v>0</v>
      </c>
    </row>
    <row r="64" spans="1:5" ht="22.5" customHeight="1" x14ac:dyDescent="0.15">
      <c r="A64" s="10" t="s">
        <v>92</v>
      </c>
      <c r="B64" s="11" t="s">
        <v>38</v>
      </c>
      <c r="C64" s="39">
        <v>700000</v>
      </c>
      <c r="D64" s="12">
        <f>IF((($D$2&gt;=1)*($D$2&lt;=3))=1,1,0)</f>
        <v>0</v>
      </c>
      <c r="E64" s="39">
        <f t="shared" si="1"/>
        <v>0</v>
      </c>
    </row>
    <row r="65" spans="1:5" ht="22.5" customHeight="1" x14ac:dyDescent="0.15">
      <c r="A65" s="10" t="s">
        <v>93</v>
      </c>
      <c r="B65" s="11" t="s">
        <v>38</v>
      </c>
      <c r="C65" s="39">
        <v>1100000</v>
      </c>
      <c r="D65" s="12">
        <f>IF((($D$2&gt;=4)*($D$2&lt;=11))=1,1,0)</f>
        <v>1</v>
      </c>
      <c r="E65" s="39">
        <f t="shared" si="1"/>
        <v>1100000</v>
      </c>
    </row>
    <row r="66" spans="1:5" ht="22.5" customHeight="1" x14ac:dyDescent="0.2">
      <c r="A66" s="16" t="s">
        <v>39</v>
      </c>
      <c r="B66" s="7"/>
      <c r="C66" s="40"/>
      <c r="D66" s="12"/>
      <c r="E66" s="39">
        <f t="shared" si="1"/>
        <v>0</v>
      </c>
    </row>
    <row r="67" spans="1:5" ht="22.5" customHeight="1" x14ac:dyDescent="0.2">
      <c r="A67" s="9" t="s">
        <v>40</v>
      </c>
      <c r="B67" s="7"/>
      <c r="C67" s="40"/>
      <c r="D67" s="12"/>
      <c r="E67" s="39">
        <f t="shared" si="1"/>
        <v>0</v>
      </c>
    </row>
    <row r="68" spans="1:5" ht="22.5" customHeight="1" x14ac:dyDescent="0.15">
      <c r="A68" s="13" t="s">
        <v>41</v>
      </c>
      <c r="B68" s="11" t="s">
        <v>30</v>
      </c>
      <c r="C68" s="39">
        <v>250000</v>
      </c>
      <c r="D68" s="12">
        <f>IF((($D$2&gt;=1)*($D$2&lt;=3))=1,$C$2,0)</f>
        <v>0</v>
      </c>
      <c r="E68" s="39">
        <f t="shared" si="1"/>
        <v>0</v>
      </c>
    </row>
    <row r="69" spans="1:5" ht="22.5" customHeight="1" x14ac:dyDescent="0.15">
      <c r="A69" s="10" t="s">
        <v>71</v>
      </c>
      <c r="B69" s="11" t="s">
        <v>30</v>
      </c>
      <c r="C69" s="39">
        <v>250000</v>
      </c>
      <c r="D69" s="12">
        <f>IF((($D$2&gt;=4)*($D$2&lt;=11))=1,$C$2,0)</f>
        <v>4</v>
      </c>
      <c r="E69" s="39">
        <f t="shared" si="1"/>
        <v>1000000</v>
      </c>
    </row>
    <row r="70" spans="1:5" ht="22.5" customHeight="1" x14ac:dyDescent="0.15">
      <c r="A70" s="10" t="s">
        <v>72</v>
      </c>
      <c r="B70" s="11" t="s">
        <v>30</v>
      </c>
      <c r="C70" s="39">
        <v>200000</v>
      </c>
      <c r="D70" s="12"/>
      <c r="E70" s="39">
        <f t="shared" si="1"/>
        <v>0</v>
      </c>
    </row>
    <row r="71" spans="1:5" ht="22.5" customHeight="1" x14ac:dyDescent="0.2">
      <c r="A71" s="16" t="s">
        <v>42</v>
      </c>
      <c r="B71" s="7"/>
      <c r="C71" s="40"/>
      <c r="D71" s="12"/>
      <c r="E71" s="39">
        <f t="shared" si="1"/>
        <v>0</v>
      </c>
    </row>
    <row r="72" spans="1:5" ht="22.5" customHeight="1" x14ac:dyDescent="0.2">
      <c r="A72" s="9" t="s">
        <v>43</v>
      </c>
      <c r="B72" s="7"/>
      <c r="C72" s="40"/>
      <c r="D72" s="12"/>
      <c r="E72" s="39">
        <f t="shared" si="1"/>
        <v>0</v>
      </c>
    </row>
    <row r="73" spans="1:5" ht="22.5" customHeight="1" x14ac:dyDescent="0.15">
      <c r="A73" s="13" t="s">
        <v>44</v>
      </c>
      <c r="B73" s="11" t="s">
        <v>83</v>
      </c>
      <c r="C73" s="39">
        <v>50000</v>
      </c>
      <c r="D73" s="12">
        <f>ROUNDUP(D2*C2*$C$2/24,0)</f>
        <v>6</v>
      </c>
      <c r="E73" s="39">
        <f t="shared" si="1"/>
        <v>300000</v>
      </c>
    </row>
    <row r="74" spans="1:5" ht="22.5" customHeight="1" x14ac:dyDescent="0.15">
      <c r="A74" s="13" t="s">
        <v>46</v>
      </c>
      <c r="B74" s="11" t="s">
        <v>45</v>
      </c>
      <c r="C74" s="39">
        <v>100000</v>
      </c>
      <c r="D74" s="12">
        <v>1</v>
      </c>
      <c r="E74" s="39">
        <f t="shared" si="1"/>
        <v>100000</v>
      </c>
    </row>
    <row r="75" spans="1:5" ht="22.5" customHeight="1" x14ac:dyDescent="0.15">
      <c r="A75" s="13" t="s">
        <v>47</v>
      </c>
      <c r="B75" s="11" t="s">
        <v>17</v>
      </c>
      <c r="C75" s="39">
        <v>60000</v>
      </c>
      <c r="D75" s="12">
        <f>D2</f>
        <v>8</v>
      </c>
      <c r="E75" s="39">
        <f t="shared" ref="E75:E79" si="2">C75*D75</f>
        <v>480000</v>
      </c>
    </row>
    <row r="76" spans="1:5" ht="22.5" customHeight="1" x14ac:dyDescent="0.2">
      <c r="A76" s="9" t="s">
        <v>48</v>
      </c>
      <c r="B76" s="7"/>
      <c r="C76" s="14"/>
      <c r="D76" s="12"/>
      <c r="E76" s="39">
        <f t="shared" si="2"/>
        <v>0</v>
      </c>
    </row>
    <row r="77" spans="1:5" ht="22.5" customHeight="1" x14ac:dyDescent="0.15">
      <c r="A77" s="13" t="s">
        <v>49</v>
      </c>
      <c r="B77" s="11" t="s">
        <v>38</v>
      </c>
      <c r="C77" s="12">
        <v>2000000</v>
      </c>
      <c r="D77" s="12"/>
      <c r="E77" s="39">
        <f t="shared" si="2"/>
        <v>0</v>
      </c>
    </row>
    <row r="78" spans="1:5" ht="22.5" customHeight="1" x14ac:dyDescent="0.2">
      <c r="A78" s="9" t="s">
        <v>50</v>
      </c>
      <c r="B78" s="7"/>
      <c r="C78" s="14"/>
      <c r="D78" s="12"/>
      <c r="E78" s="39">
        <f t="shared" si="2"/>
        <v>0</v>
      </c>
    </row>
    <row r="79" spans="1:5" ht="22.5" customHeight="1" x14ac:dyDescent="0.15">
      <c r="A79" s="13" t="s">
        <v>51</v>
      </c>
      <c r="B79" s="11" t="s">
        <v>17</v>
      </c>
      <c r="C79" s="12">
        <v>16000</v>
      </c>
      <c r="D79" s="12">
        <f>D2</f>
        <v>8</v>
      </c>
      <c r="E79" s="39">
        <f t="shared" si="2"/>
        <v>128000</v>
      </c>
    </row>
    <row r="80" spans="1:5" ht="22.5" customHeight="1" x14ac:dyDescent="0.15">
      <c r="A80" s="10" t="s">
        <v>61</v>
      </c>
      <c r="B80" s="11" t="s">
        <v>5</v>
      </c>
      <c r="C80" s="12">
        <v>100000</v>
      </c>
      <c r="D80" s="12">
        <v>1</v>
      </c>
      <c r="E80" s="39">
        <f>C80*D80</f>
        <v>100000</v>
      </c>
    </row>
    <row r="81" spans="1:5" s="1" customFormat="1" ht="30" customHeight="1" x14ac:dyDescent="0.15">
      <c r="A81" s="18" t="s">
        <v>84</v>
      </c>
      <c r="B81" s="17"/>
      <c r="C81" s="5"/>
      <c r="D81" s="12"/>
      <c r="E81" s="42">
        <f>SUM(E7:E80)</f>
        <v>19778000</v>
      </c>
    </row>
    <row r="82" spans="1:5" ht="36" customHeight="1" x14ac:dyDescent="0.15">
      <c r="A82" s="18" t="s">
        <v>88</v>
      </c>
      <c r="B82" s="8"/>
      <c r="C82" s="8"/>
      <c r="D82" s="8"/>
      <c r="E82" s="42">
        <f>E81/D2</f>
        <v>2472250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91833-499A-49D6-9801-86C7CBD98C91}">
  <sheetPr>
    <pageSetUpPr fitToPage="1"/>
  </sheetPr>
  <dimension ref="A1:N82"/>
  <sheetViews>
    <sheetView topLeftCell="A53" zoomScale="70" zoomScaleNormal="70" workbookViewId="0">
      <selection activeCell="D32" sqref="D32"/>
    </sheetView>
  </sheetViews>
  <sheetFormatPr baseColWidth="10" defaultColWidth="9" defaultRowHeight="13" x14ac:dyDescent="0.15"/>
  <cols>
    <col min="1" max="1" width="103.19921875" bestFit="1" customWidth="1"/>
    <col min="2" max="2" width="23.19921875" customWidth="1"/>
    <col min="3" max="3" width="29.19921875" customWidth="1"/>
    <col min="4" max="4" width="24.19921875" customWidth="1"/>
    <col min="5" max="5" width="25.3984375" customWidth="1"/>
    <col min="8" max="8" width="7" bestFit="1" customWidth="1"/>
    <col min="9" max="10" width="20.796875" bestFit="1" customWidth="1"/>
    <col min="11" max="11" width="18.59765625" bestFit="1" customWidth="1"/>
    <col min="12" max="12" width="20.3984375" bestFit="1" customWidth="1"/>
    <col min="13" max="13" width="18.59765625" bestFit="1" customWidth="1"/>
    <col min="14" max="14" width="27.3984375" bestFit="1" customWidth="1"/>
  </cols>
  <sheetData>
    <row r="1" spans="1:5" ht="25.5" customHeight="1" x14ac:dyDescent="0.15">
      <c r="A1" s="2" t="s">
        <v>77</v>
      </c>
      <c r="B1" s="2" t="s">
        <v>78</v>
      </c>
      <c r="C1" s="2" t="s">
        <v>79</v>
      </c>
      <c r="D1" s="2" t="s">
        <v>80</v>
      </c>
    </row>
    <row r="2" spans="1:5" ht="27.75" customHeight="1" x14ac:dyDescent="0.15">
      <c r="A2" s="3" t="s">
        <v>94</v>
      </c>
      <c r="B2" s="3">
        <v>54</v>
      </c>
      <c r="C2" s="3">
        <v>4</v>
      </c>
      <c r="D2" s="43">
        <v>9</v>
      </c>
    </row>
    <row r="3" spans="1:5" ht="27.75" customHeight="1" x14ac:dyDescent="0.15">
      <c r="A3" s="4"/>
      <c r="B3" s="4"/>
      <c r="C3" s="4"/>
    </row>
    <row r="4" spans="1:5" ht="35.25" customHeight="1" x14ac:dyDescent="0.15">
      <c r="A4" s="5" t="s">
        <v>0</v>
      </c>
      <c r="B4" s="5" t="s">
        <v>1</v>
      </c>
      <c r="C4" s="5" t="s">
        <v>2</v>
      </c>
      <c r="D4" s="5" t="s">
        <v>81</v>
      </c>
      <c r="E4" s="5" t="s">
        <v>82</v>
      </c>
    </row>
    <row r="5" spans="1:5" ht="22.5" customHeight="1" x14ac:dyDescent="0.2">
      <c r="A5" s="6" t="s">
        <v>3</v>
      </c>
      <c r="B5" s="7"/>
      <c r="C5" s="7"/>
      <c r="D5" s="8"/>
      <c r="E5" s="8"/>
    </row>
    <row r="6" spans="1:5" ht="22.5" customHeight="1" x14ac:dyDescent="0.2">
      <c r="A6" s="9" t="s">
        <v>4</v>
      </c>
      <c r="B6" s="7"/>
      <c r="C6" s="7"/>
      <c r="D6" s="8"/>
      <c r="E6" s="8"/>
    </row>
    <row r="7" spans="1:5" ht="22.5" customHeight="1" x14ac:dyDescent="0.15">
      <c r="A7" s="10" t="s">
        <v>97</v>
      </c>
      <c r="B7" s="11" t="s">
        <v>5</v>
      </c>
      <c r="C7" s="39">
        <v>500000</v>
      </c>
      <c r="D7" s="12">
        <v>4</v>
      </c>
      <c r="E7" s="39">
        <f t="shared" ref="E7:E9" si="0">C7*D7</f>
        <v>2000000</v>
      </c>
    </row>
    <row r="8" spans="1:5" ht="22.5" customHeight="1" x14ac:dyDescent="0.15">
      <c r="A8" s="10" t="s">
        <v>98</v>
      </c>
      <c r="B8" s="11" t="s">
        <v>5</v>
      </c>
      <c r="C8" s="39">
        <v>250000</v>
      </c>
      <c r="D8" s="12">
        <v>1</v>
      </c>
      <c r="E8" s="39">
        <f t="shared" si="0"/>
        <v>250000</v>
      </c>
    </row>
    <row r="9" spans="1:5" ht="22.5" customHeight="1" x14ac:dyDescent="0.15">
      <c r="A9" s="10" t="s">
        <v>73</v>
      </c>
      <c r="B9" s="11" t="s">
        <v>5</v>
      </c>
      <c r="C9" s="39">
        <v>560000</v>
      </c>
      <c r="D9" s="12"/>
      <c r="E9" s="39">
        <f t="shared" si="0"/>
        <v>0</v>
      </c>
    </row>
    <row r="10" spans="1:5" ht="22.5" hidden="1" customHeight="1" x14ac:dyDescent="0.15">
      <c r="A10" s="13" t="s">
        <v>6</v>
      </c>
      <c r="B10" s="11" t="s">
        <v>5</v>
      </c>
      <c r="C10" s="39">
        <v>435000</v>
      </c>
      <c r="D10" s="12"/>
      <c r="E10" s="39">
        <f>C10*D10</f>
        <v>0</v>
      </c>
    </row>
    <row r="11" spans="1:5" ht="22.5" hidden="1" customHeight="1" x14ac:dyDescent="0.15">
      <c r="A11" s="13" t="s">
        <v>7</v>
      </c>
      <c r="B11" s="11" t="s">
        <v>5</v>
      </c>
      <c r="C11" s="39">
        <v>300000</v>
      </c>
      <c r="D11" s="12"/>
      <c r="E11" s="39">
        <f t="shared" ref="E11:E74" si="1">C11*D11</f>
        <v>0</v>
      </c>
    </row>
    <row r="12" spans="1:5" ht="22.5" hidden="1" customHeight="1" x14ac:dyDescent="0.15">
      <c r="A12" s="10" t="s">
        <v>52</v>
      </c>
      <c r="B12" s="11" t="s">
        <v>5</v>
      </c>
      <c r="C12" s="39">
        <v>250000</v>
      </c>
      <c r="D12" s="12"/>
      <c r="E12" s="39">
        <f t="shared" si="1"/>
        <v>0</v>
      </c>
    </row>
    <row r="13" spans="1:5" ht="22.5" hidden="1" customHeight="1" x14ac:dyDescent="0.15">
      <c r="A13" s="10" t="s">
        <v>53</v>
      </c>
      <c r="B13" s="11" t="s">
        <v>5</v>
      </c>
      <c r="C13" s="39">
        <v>275000</v>
      </c>
      <c r="D13" s="12"/>
      <c r="E13" s="39">
        <f t="shared" si="1"/>
        <v>0</v>
      </c>
    </row>
    <row r="14" spans="1:5" ht="22.5" hidden="1" customHeight="1" x14ac:dyDescent="0.15">
      <c r="A14" s="10" t="s">
        <v>54</v>
      </c>
      <c r="B14" s="11" t="s">
        <v>5</v>
      </c>
      <c r="C14" s="39">
        <v>450000</v>
      </c>
      <c r="D14" s="12"/>
      <c r="E14" s="39">
        <f t="shared" si="1"/>
        <v>0</v>
      </c>
    </row>
    <row r="15" spans="1:5" ht="22.5" hidden="1" customHeight="1" x14ac:dyDescent="0.15">
      <c r="A15" s="10" t="s">
        <v>55</v>
      </c>
      <c r="B15" s="11" t="s">
        <v>5</v>
      </c>
      <c r="C15" s="39">
        <v>450000</v>
      </c>
      <c r="D15" s="12"/>
      <c r="E15" s="39">
        <f t="shared" si="1"/>
        <v>0</v>
      </c>
    </row>
    <row r="16" spans="1:5" ht="22.5" hidden="1" customHeight="1" x14ac:dyDescent="0.15">
      <c r="A16" s="10" t="s">
        <v>65</v>
      </c>
      <c r="B16" s="11" t="s">
        <v>5</v>
      </c>
      <c r="C16" s="39">
        <v>337500</v>
      </c>
      <c r="D16" s="12"/>
      <c r="E16" s="39">
        <f t="shared" si="1"/>
        <v>0</v>
      </c>
    </row>
    <row r="17" spans="1:14" ht="22.5" hidden="1" customHeight="1" x14ac:dyDescent="0.2">
      <c r="A17" s="10" t="s">
        <v>67</v>
      </c>
      <c r="B17" s="11" t="s">
        <v>5</v>
      </c>
      <c r="C17" s="39">
        <v>375000</v>
      </c>
      <c r="D17" s="12"/>
      <c r="E17" s="39">
        <f t="shared" si="1"/>
        <v>0</v>
      </c>
      <c r="H17" s="36"/>
      <c r="I17" s="37"/>
      <c r="J17" s="37"/>
      <c r="K17" s="38"/>
      <c r="L17" s="38"/>
      <c r="M17" s="38"/>
      <c r="N17" s="38"/>
    </row>
    <row r="18" spans="1:14" ht="22.5" hidden="1" customHeight="1" x14ac:dyDescent="0.2">
      <c r="A18" s="10" t="s">
        <v>66</v>
      </c>
      <c r="B18" s="11" t="s">
        <v>5</v>
      </c>
      <c r="C18" s="39">
        <v>412500</v>
      </c>
      <c r="D18" s="12"/>
      <c r="E18" s="39">
        <f t="shared" si="1"/>
        <v>0</v>
      </c>
      <c r="H18" s="36"/>
      <c r="I18" s="37"/>
      <c r="J18" s="37"/>
      <c r="K18" s="38"/>
      <c r="L18" s="38"/>
      <c r="M18" s="38"/>
      <c r="N18" s="38"/>
    </row>
    <row r="19" spans="1:14" ht="22.5" hidden="1" customHeight="1" x14ac:dyDescent="0.2">
      <c r="A19" s="10" t="s">
        <v>68</v>
      </c>
      <c r="B19" s="11" t="s">
        <v>5</v>
      </c>
      <c r="C19" s="39">
        <v>487500</v>
      </c>
      <c r="D19" s="12"/>
      <c r="E19" s="39">
        <f t="shared" si="1"/>
        <v>0</v>
      </c>
      <c r="H19" s="36"/>
      <c r="I19" s="37"/>
      <c r="J19" s="37"/>
      <c r="K19" s="38"/>
      <c r="L19" s="38"/>
      <c r="M19" s="38"/>
      <c r="N19" s="38"/>
    </row>
    <row r="20" spans="1:14" ht="22.5" hidden="1" customHeight="1" x14ac:dyDescent="0.2">
      <c r="A20" s="10" t="s">
        <v>69</v>
      </c>
      <c r="B20" s="11" t="s">
        <v>5</v>
      </c>
      <c r="C20" s="39">
        <v>562500</v>
      </c>
      <c r="D20" s="12"/>
      <c r="E20" s="39">
        <f t="shared" si="1"/>
        <v>0</v>
      </c>
      <c r="H20" s="36"/>
      <c r="I20" s="37"/>
      <c r="J20" s="37"/>
      <c r="K20" s="38"/>
      <c r="L20" s="38"/>
      <c r="M20" s="38"/>
      <c r="N20" s="38"/>
    </row>
    <row r="21" spans="1:14" ht="22.5" customHeight="1" x14ac:dyDescent="0.2">
      <c r="A21" s="9" t="s">
        <v>8</v>
      </c>
      <c r="B21" s="7"/>
      <c r="C21" s="40"/>
      <c r="D21" s="12"/>
      <c r="E21" s="39"/>
    </row>
    <row r="22" spans="1:14" ht="22.5" customHeight="1" x14ac:dyDescent="0.15">
      <c r="A22" s="10" t="s">
        <v>62</v>
      </c>
      <c r="B22" s="11" t="s">
        <v>5</v>
      </c>
      <c r="C22" s="39">
        <v>750000</v>
      </c>
      <c r="D22" s="12">
        <v>3</v>
      </c>
      <c r="E22" s="39">
        <f t="shared" si="1"/>
        <v>2250000</v>
      </c>
    </row>
    <row r="23" spans="1:14" ht="22.5" customHeight="1" x14ac:dyDescent="0.15">
      <c r="A23" s="10" t="s">
        <v>63</v>
      </c>
      <c r="B23" s="11" t="s">
        <v>5</v>
      </c>
      <c r="C23" s="39">
        <v>950000</v>
      </c>
      <c r="D23" s="12">
        <v>1</v>
      </c>
      <c r="E23" s="39">
        <f t="shared" si="1"/>
        <v>950000</v>
      </c>
    </row>
    <row r="24" spans="1:14" ht="22.5" customHeight="1" x14ac:dyDescent="0.15">
      <c r="A24" s="10" t="s">
        <v>64</v>
      </c>
      <c r="B24" s="11" t="s">
        <v>5</v>
      </c>
      <c r="C24" s="39">
        <v>300000</v>
      </c>
      <c r="D24" s="12"/>
      <c r="E24" s="39">
        <f t="shared" si="1"/>
        <v>0</v>
      </c>
    </row>
    <row r="25" spans="1:14" ht="22.5" customHeight="1" x14ac:dyDescent="0.2">
      <c r="A25" s="9" t="s">
        <v>9</v>
      </c>
      <c r="B25" s="7"/>
      <c r="C25" s="40"/>
      <c r="D25" s="12"/>
      <c r="E25" s="39">
        <f t="shared" si="1"/>
        <v>0</v>
      </c>
    </row>
    <row r="26" spans="1:14" ht="22.5" customHeight="1" x14ac:dyDescent="0.15">
      <c r="A26" s="10" t="s">
        <v>56</v>
      </c>
      <c r="B26" s="11" t="s">
        <v>5</v>
      </c>
      <c r="C26" s="39">
        <v>425000</v>
      </c>
      <c r="D26" s="12"/>
      <c r="E26" s="39">
        <f t="shared" si="1"/>
        <v>0</v>
      </c>
    </row>
    <row r="27" spans="1:14" ht="22.5" customHeight="1" x14ac:dyDescent="0.15">
      <c r="A27" s="10" t="s">
        <v>10</v>
      </c>
      <c r="B27" s="11" t="s">
        <v>5</v>
      </c>
      <c r="C27" s="39">
        <v>260000</v>
      </c>
      <c r="D27" s="12">
        <v>3</v>
      </c>
      <c r="E27" s="39">
        <f t="shared" si="1"/>
        <v>780000</v>
      </c>
    </row>
    <row r="28" spans="1:14" ht="22.5" customHeight="1" x14ac:dyDescent="0.15">
      <c r="A28" s="10" t="s">
        <v>11</v>
      </c>
      <c r="B28" s="11" t="s">
        <v>5</v>
      </c>
      <c r="C28" s="39">
        <v>300000</v>
      </c>
      <c r="D28" s="12"/>
      <c r="E28" s="39">
        <f t="shared" si="1"/>
        <v>0</v>
      </c>
    </row>
    <row r="29" spans="1:14" ht="22.5" customHeight="1" x14ac:dyDescent="0.15">
      <c r="A29" s="13" t="s">
        <v>12</v>
      </c>
      <c r="B29" s="11" t="s">
        <v>5</v>
      </c>
      <c r="C29" s="39">
        <v>316000</v>
      </c>
      <c r="D29" s="12"/>
      <c r="E29" s="39">
        <f t="shared" si="1"/>
        <v>0</v>
      </c>
    </row>
    <row r="30" spans="1:14" ht="22.5" customHeight="1" x14ac:dyDescent="0.15">
      <c r="A30" s="13" t="s">
        <v>13</v>
      </c>
      <c r="B30" s="11" t="s">
        <v>5</v>
      </c>
      <c r="C30" s="39">
        <v>380000</v>
      </c>
      <c r="D30" s="12"/>
      <c r="E30" s="39">
        <f t="shared" si="1"/>
        <v>0</v>
      </c>
    </row>
    <row r="31" spans="1:14" ht="22.5" customHeight="1" x14ac:dyDescent="0.15">
      <c r="A31" s="13" t="s">
        <v>14</v>
      </c>
      <c r="B31" s="11" t="s">
        <v>5</v>
      </c>
      <c r="C31" s="39">
        <v>440000</v>
      </c>
      <c r="D31" s="12">
        <v>1</v>
      </c>
      <c r="E31" s="39">
        <f t="shared" si="1"/>
        <v>440000</v>
      </c>
    </row>
    <row r="32" spans="1:14" ht="22.5" customHeight="1" x14ac:dyDescent="0.2">
      <c r="A32" s="6" t="s">
        <v>15</v>
      </c>
      <c r="B32" s="7"/>
      <c r="C32" s="40"/>
      <c r="D32" s="12"/>
      <c r="E32" s="39">
        <f t="shared" si="1"/>
        <v>0</v>
      </c>
    </row>
    <row r="33" spans="1:5" ht="22.5" customHeight="1" x14ac:dyDescent="0.2">
      <c r="A33" s="9" t="s">
        <v>16</v>
      </c>
      <c r="B33" s="7"/>
      <c r="C33" s="40"/>
      <c r="D33" s="12"/>
      <c r="E33" s="39">
        <f t="shared" si="1"/>
        <v>0</v>
      </c>
    </row>
    <row r="34" spans="1:5" ht="22.5" customHeight="1" x14ac:dyDescent="0.15">
      <c r="A34" s="10" t="s">
        <v>60</v>
      </c>
      <c r="B34" s="11" t="s">
        <v>17</v>
      </c>
      <c r="C34" s="39">
        <v>75000</v>
      </c>
      <c r="D34" s="12">
        <f>$D$2</f>
        <v>9</v>
      </c>
      <c r="E34" s="39">
        <f t="shared" si="1"/>
        <v>675000</v>
      </c>
    </row>
    <row r="35" spans="1:5" ht="22.5" customHeight="1" x14ac:dyDescent="0.15">
      <c r="A35" s="13" t="s">
        <v>18</v>
      </c>
      <c r="B35" s="11" t="s">
        <v>17</v>
      </c>
      <c r="C35" s="39">
        <v>55000</v>
      </c>
      <c r="D35" s="12"/>
      <c r="E35" s="39">
        <f t="shared" si="1"/>
        <v>0</v>
      </c>
    </row>
    <row r="36" spans="1:5" ht="22.5" customHeight="1" x14ac:dyDescent="0.15">
      <c r="A36" s="10" t="s">
        <v>19</v>
      </c>
      <c r="B36" s="11" t="s">
        <v>17</v>
      </c>
      <c r="C36" s="39">
        <v>25000</v>
      </c>
      <c r="D36" s="12">
        <f>$D$2</f>
        <v>9</v>
      </c>
      <c r="E36" s="39">
        <f t="shared" si="1"/>
        <v>225000</v>
      </c>
    </row>
    <row r="37" spans="1:5" ht="22.5" customHeight="1" x14ac:dyDescent="0.15">
      <c r="A37" s="10" t="s">
        <v>76</v>
      </c>
      <c r="B37" s="11" t="s">
        <v>5</v>
      </c>
      <c r="C37" s="39">
        <v>250000</v>
      </c>
      <c r="D37" s="12">
        <v>1</v>
      </c>
      <c r="E37" s="39">
        <f t="shared" si="1"/>
        <v>250000</v>
      </c>
    </row>
    <row r="38" spans="1:5" ht="22.5" customHeight="1" x14ac:dyDescent="0.15">
      <c r="A38" s="13" t="s">
        <v>95</v>
      </c>
      <c r="B38" s="11" t="s">
        <v>17</v>
      </c>
      <c r="C38" s="39">
        <v>65000</v>
      </c>
      <c r="D38" s="12"/>
      <c r="E38" s="39">
        <f t="shared" si="1"/>
        <v>0</v>
      </c>
    </row>
    <row r="39" spans="1:5" ht="22.5" customHeight="1" x14ac:dyDescent="0.15">
      <c r="A39" s="13" t="s">
        <v>96</v>
      </c>
      <c r="B39" s="11" t="s">
        <v>17</v>
      </c>
      <c r="C39" s="39">
        <v>65000</v>
      </c>
      <c r="D39" s="12"/>
      <c r="E39" s="39">
        <f t="shared" si="1"/>
        <v>0</v>
      </c>
    </row>
    <row r="40" spans="1:5" ht="22.5" customHeight="1" x14ac:dyDescent="0.15">
      <c r="A40" s="10" t="s">
        <v>57</v>
      </c>
      <c r="B40" s="11" t="s">
        <v>17</v>
      </c>
      <c r="C40" s="39">
        <v>60000</v>
      </c>
      <c r="D40" s="12">
        <f>D2</f>
        <v>9</v>
      </c>
      <c r="E40" s="39">
        <f t="shared" si="1"/>
        <v>540000</v>
      </c>
    </row>
    <row r="41" spans="1:5" ht="22.5" customHeight="1" x14ac:dyDescent="0.15">
      <c r="A41" s="10" t="s">
        <v>58</v>
      </c>
      <c r="B41" s="11" t="s">
        <v>17</v>
      </c>
      <c r="C41" s="39">
        <v>60000</v>
      </c>
      <c r="D41" s="12"/>
      <c r="E41" s="39">
        <f t="shared" si="1"/>
        <v>0</v>
      </c>
    </row>
    <row r="42" spans="1:5" ht="22.5" customHeight="1" x14ac:dyDescent="0.15">
      <c r="A42" s="13" t="s">
        <v>20</v>
      </c>
      <c r="B42" s="11" t="s">
        <v>5</v>
      </c>
      <c r="C42" s="39">
        <v>35000</v>
      </c>
      <c r="D42" s="12"/>
      <c r="E42" s="39">
        <f t="shared" si="1"/>
        <v>0</v>
      </c>
    </row>
    <row r="43" spans="1:5" ht="22.5" customHeight="1" x14ac:dyDescent="0.2">
      <c r="A43" s="9" t="s">
        <v>21</v>
      </c>
      <c r="B43" s="7"/>
      <c r="C43" s="41"/>
      <c r="D43" s="12"/>
      <c r="E43" s="39"/>
    </row>
    <row r="44" spans="1:5" ht="22.5" customHeight="1" x14ac:dyDescent="0.15">
      <c r="A44" s="10" t="s">
        <v>59</v>
      </c>
      <c r="B44" s="11" t="s">
        <v>17</v>
      </c>
      <c r="C44" s="39">
        <v>160000</v>
      </c>
      <c r="D44" s="12">
        <f>D2</f>
        <v>9</v>
      </c>
      <c r="E44" s="39">
        <f t="shared" si="1"/>
        <v>1440000</v>
      </c>
    </row>
    <row r="45" spans="1:5" ht="22.5" customHeight="1" x14ac:dyDescent="0.15">
      <c r="A45" s="13" t="s">
        <v>22</v>
      </c>
      <c r="B45" s="11" t="s">
        <v>17</v>
      </c>
      <c r="C45" s="39">
        <v>500000</v>
      </c>
      <c r="D45" s="12">
        <f>ROUNDUP(D2/4,0)</f>
        <v>3</v>
      </c>
      <c r="E45" s="39">
        <f t="shared" si="1"/>
        <v>1500000</v>
      </c>
    </row>
    <row r="46" spans="1:5" ht="22.5" customHeight="1" x14ac:dyDescent="0.2">
      <c r="A46" s="9" t="s">
        <v>23</v>
      </c>
      <c r="B46" s="7"/>
      <c r="C46" s="41"/>
      <c r="D46" s="12"/>
      <c r="E46" s="39">
        <f t="shared" si="1"/>
        <v>0</v>
      </c>
    </row>
    <row r="47" spans="1:5" ht="22.5" customHeight="1" x14ac:dyDescent="0.15">
      <c r="A47" s="13" t="s">
        <v>24</v>
      </c>
      <c r="B47" s="11" t="s">
        <v>17</v>
      </c>
      <c r="C47" s="39">
        <v>150000</v>
      </c>
      <c r="D47" s="12">
        <f>D2</f>
        <v>9</v>
      </c>
      <c r="E47" s="39">
        <f t="shared" si="1"/>
        <v>1350000</v>
      </c>
    </row>
    <row r="48" spans="1:5" ht="22.5" customHeight="1" x14ac:dyDescent="0.15">
      <c r="A48" s="10" t="s">
        <v>75</v>
      </c>
      <c r="B48" s="11" t="s">
        <v>5</v>
      </c>
      <c r="C48" s="39">
        <v>200000</v>
      </c>
      <c r="D48" s="12">
        <v>1</v>
      </c>
      <c r="E48" s="39">
        <f t="shared" si="1"/>
        <v>200000</v>
      </c>
    </row>
    <row r="49" spans="1:5" ht="22.5" customHeight="1" x14ac:dyDescent="0.15">
      <c r="A49" s="13" t="s">
        <v>25</v>
      </c>
      <c r="B49" s="11" t="s">
        <v>17</v>
      </c>
      <c r="C49" s="39">
        <v>50000</v>
      </c>
      <c r="D49" s="12">
        <f>D2</f>
        <v>9</v>
      </c>
      <c r="E49" s="39">
        <f t="shared" si="1"/>
        <v>450000</v>
      </c>
    </row>
    <row r="50" spans="1:5" ht="22.5" customHeight="1" x14ac:dyDescent="0.15">
      <c r="A50" s="13" t="s">
        <v>26</v>
      </c>
      <c r="B50" s="11" t="s">
        <v>17</v>
      </c>
      <c r="C50" s="39">
        <v>40000</v>
      </c>
      <c r="D50" s="12">
        <f>$D$2</f>
        <v>9</v>
      </c>
      <c r="E50" s="39">
        <f t="shared" si="1"/>
        <v>360000</v>
      </c>
    </row>
    <row r="51" spans="1:5" ht="22.5" customHeight="1" x14ac:dyDescent="0.2">
      <c r="A51" s="16" t="s">
        <v>27</v>
      </c>
      <c r="B51" s="7"/>
      <c r="C51" s="40"/>
      <c r="D51" s="12"/>
      <c r="E51" s="39"/>
    </row>
    <row r="52" spans="1:5" ht="22.5" customHeight="1" x14ac:dyDescent="0.2">
      <c r="A52" s="9" t="s">
        <v>28</v>
      </c>
      <c r="B52" s="7"/>
      <c r="C52" s="40"/>
      <c r="D52" s="12"/>
      <c r="E52" s="39"/>
    </row>
    <row r="53" spans="1:5" ht="22.5" customHeight="1" x14ac:dyDescent="0.15">
      <c r="A53" s="13" t="s">
        <v>29</v>
      </c>
      <c r="B53" s="11" t="s">
        <v>30</v>
      </c>
      <c r="C53" s="39">
        <v>450000</v>
      </c>
      <c r="D53" s="12">
        <f>IF($D$2=1,$C$2, IF($D$2=2,$C$2,0))</f>
        <v>0</v>
      </c>
      <c r="E53" s="39">
        <f t="shared" si="1"/>
        <v>0</v>
      </c>
    </row>
    <row r="54" spans="1:5" ht="22.5" customHeight="1" x14ac:dyDescent="0.15">
      <c r="A54" s="13" t="s">
        <v>31</v>
      </c>
      <c r="B54" s="11" t="s">
        <v>30</v>
      </c>
      <c r="C54" s="39">
        <v>550000</v>
      </c>
      <c r="D54" s="12">
        <f>IF($D$2=3,$C$2, 0)</f>
        <v>0</v>
      </c>
      <c r="E54" s="39">
        <f t="shared" si="1"/>
        <v>0</v>
      </c>
    </row>
    <row r="55" spans="1:5" ht="22.5" customHeight="1" x14ac:dyDescent="0.15">
      <c r="A55" s="10" t="s">
        <v>32</v>
      </c>
      <c r="B55" s="11" t="s">
        <v>30</v>
      </c>
      <c r="C55" s="39">
        <v>1100000</v>
      </c>
      <c r="D55" s="12">
        <f>IF((($D$2&gt;=4)*($D$2&lt;=11))=1,$C$2,0)</f>
        <v>4</v>
      </c>
      <c r="E55" s="39">
        <f t="shared" si="1"/>
        <v>4400000</v>
      </c>
    </row>
    <row r="56" spans="1:5" ht="22.5" customHeight="1" x14ac:dyDescent="0.15">
      <c r="A56" s="13" t="s">
        <v>33</v>
      </c>
      <c r="B56" s="11" t="s">
        <v>30</v>
      </c>
      <c r="C56" s="39">
        <v>1300000</v>
      </c>
      <c r="D56" s="12"/>
      <c r="E56" s="39">
        <f t="shared" si="1"/>
        <v>0</v>
      </c>
    </row>
    <row r="57" spans="1:5" ht="22.5" customHeight="1" x14ac:dyDescent="0.15">
      <c r="A57" s="10" t="s">
        <v>91</v>
      </c>
      <c r="B57" s="11" t="s">
        <v>30</v>
      </c>
      <c r="C57" s="39">
        <v>650000</v>
      </c>
      <c r="D57" s="12">
        <f>IF((($D$2&gt;=10)*($D$2&lt;=11))=1,1,0)</f>
        <v>0</v>
      </c>
      <c r="E57" s="39">
        <f t="shared" si="1"/>
        <v>0</v>
      </c>
    </row>
    <row r="58" spans="1:5" ht="22.5" customHeight="1" x14ac:dyDescent="0.2">
      <c r="A58" s="9" t="s">
        <v>34</v>
      </c>
      <c r="B58" s="7"/>
      <c r="C58" s="40"/>
      <c r="D58" s="12"/>
      <c r="E58" s="39"/>
    </row>
    <row r="59" spans="1:5" ht="22.5" customHeight="1" x14ac:dyDescent="0.15">
      <c r="A59" s="13" t="s">
        <v>35</v>
      </c>
      <c r="B59" s="11" t="s">
        <v>5</v>
      </c>
      <c r="C59" s="39">
        <v>200000</v>
      </c>
      <c r="D59" s="12">
        <f>IF((($D$2&gt;=10)*($D$2&lt;=11))=1,2,1)</f>
        <v>1</v>
      </c>
      <c r="E59" s="39">
        <f t="shared" si="1"/>
        <v>200000</v>
      </c>
    </row>
    <row r="60" spans="1:5" ht="22.5" customHeight="1" x14ac:dyDescent="0.15">
      <c r="A60" s="10" t="s">
        <v>70</v>
      </c>
      <c r="B60" s="11" t="s">
        <v>5</v>
      </c>
      <c r="C60" s="39">
        <v>300000</v>
      </c>
      <c r="D60" s="12"/>
      <c r="E60" s="39">
        <f t="shared" si="1"/>
        <v>0</v>
      </c>
    </row>
    <row r="61" spans="1:5" ht="22.5" customHeight="1" x14ac:dyDescent="0.2">
      <c r="A61" s="9" t="s">
        <v>36</v>
      </c>
      <c r="B61" s="7"/>
      <c r="C61" s="40"/>
      <c r="D61" s="12"/>
      <c r="E61" s="39">
        <f t="shared" si="1"/>
        <v>0</v>
      </c>
    </row>
    <row r="62" spans="1:5" ht="22.5" customHeight="1" x14ac:dyDescent="0.15">
      <c r="A62" s="13" t="s">
        <v>37</v>
      </c>
      <c r="B62" s="11" t="s">
        <v>38</v>
      </c>
      <c r="C62" s="39">
        <v>200000</v>
      </c>
      <c r="D62" s="12"/>
      <c r="E62" s="39">
        <f t="shared" si="1"/>
        <v>0</v>
      </c>
    </row>
    <row r="63" spans="1:5" ht="22.5" customHeight="1" x14ac:dyDescent="0.2">
      <c r="A63" s="15" t="s">
        <v>74</v>
      </c>
      <c r="B63" s="7"/>
      <c r="C63" s="40"/>
      <c r="D63" s="12"/>
      <c r="E63" s="39">
        <f t="shared" si="1"/>
        <v>0</v>
      </c>
    </row>
    <row r="64" spans="1:5" ht="22.5" customHeight="1" x14ac:dyDescent="0.15">
      <c r="A64" s="10" t="s">
        <v>92</v>
      </c>
      <c r="B64" s="11" t="s">
        <v>38</v>
      </c>
      <c r="C64" s="39">
        <v>700000</v>
      </c>
      <c r="D64" s="12">
        <f>IF((($D$2&gt;=1)*($D$2&lt;=3))=1,1,0)</f>
        <v>0</v>
      </c>
      <c r="E64" s="39">
        <f t="shared" si="1"/>
        <v>0</v>
      </c>
    </row>
    <row r="65" spans="1:5" ht="22.5" customHeight="1" x14ac:dyDescent="0.15">
      <c r="A65" s="10" t="s">
        <v>93</v>
      </c>
      <c r="B65" s="11" t="s">
        <v>38</v>
      </c>
      <c r="C65" s="39">
        <v>1100000</v>
      </c>
      <c r="D65" s="12">
        <f>IF((($D$2&gt;=4)*($D$2&lt;=11))=1,1,0)</f>
        <v>1</v>
      </c>
      <c r="E65" s="39">
        <f t="shared" si="1"/>
        <v>1100000</v>
      </c>
    </row>
    <row r="66" spans="1:5" ht="22.5" customHeight="1" x14ac:dyDescent="0.2">
      <c r="A66" s="16" t="s">
        <v>39</v>
      </c>
      <c r="B66" s="7"/>
      <c r="C66" s="40"/>
      <c r="D66" s="12"/>
      <c r="E66" s="39">
        <f t="shared" si="1"/>
        <v>0</v>
      </c>
    </row>
    <row r="67" spans="1:5" ht="22.5" customHeight="1" x14ac:dyDescent="0.2">
      <c r="A67" s="9" t="s">
        <v>40</v>
      </c>
      <c r="B67" s="7"/>
      <c r="C67" s="40"/>
      <c r="D67" s="12"/>
      <c r="E67" s="39">
        <f t="shared" si="1"/>
        <v>0</v>
      </c>
    </row>
    <row r="68" spans="1:5" ht="22.5" customHeight="1" x14ac:dyDescent="0.15">
      <c r="A68" s="13" t="s">
        <v>41</v>
      </c>
      <c r="B68" s="11" t="s">
        <v>30</v>
      </c>
      <c r="C68" s="39">
        <v>250000</v>
      </c>
      <c r="D68" s="12">
        <f>IF((($D$2&gt;=1)*($D$2&lt;=3))=1,$C$2,0)</f>
        <v>0</v>
      </c>
      <c r="E68" s="39">
        <f t="shared" si="1"/>
        <v>0</v>
      </c>
    </row>
    <row r="69" spans="1:5" ht="22.5" customHeight="1" x14ac:dyDescent="0.15">
      <c r="A69" s="10" t="s">
        <v>71</v>
      </c>
      <c r="B69" s="11" t="s">
        <v>30</v>
      </c>
      <c r="C69" s="39">
        <v>250000</v>
      </c>
      <c r="D69" s="12">
        <f>IF((($D$2&gt;=4)*($D$2&lt;=11))=1,$C$2,0)</f>
        <v>4</v>
      </c>
      <c r="E69" s="39">
        <f t="shared" si="1"/>
        <v>1000000</v>
      </c>
    </row>
    <row r="70" spans="1:5" ht="22.5" customHeight="1" x14ac:dyDescent="0.15">
      <c r="A70" s="10" t="s">
        <v>72</v>
      </c>
      <c r="B70" s="11" t="s">
        <v>30</v>
      </c>
      <c r="C70" s="39">
        <v>200000</v>
      </c>
      <c r="D70" s="12"/>
      <c r="E70" s="39">
        <f t="shared" si="1"/>
        <v>0</v>
      </c>
    </row>
    <row r="71" spans="1:5" ht="22.5" customHeight="1" x14ac:dyDescent="0.2">
      <c r="A71" s="16" t="s">
        <v>42</v>
      </c>
      <c r="B71" s="7"/>
      <c r="C71" s="40"/>
      <c r="D71" s="12"/>
      <c r="E71" s="39">
        <f t="shared" si="1"/>
        <v>0</v>
      </c>
    </row>
    <row r="72" spans="1:5" ht="22.5" customHeight="1" x14ac:dyDescent="0.2">
      <c r="A72" s="9" t="s">
        <v>43</v>
      </c>
      <c r="B72" s="7"/>
      <c r="C72" s="40"/>
      <c r="D72" s="12"/>
      <c r="E72" s="39">
        <f t="shared" si="1"/>
        <v>0</v>
      </c>
    </row>
    <row r="73" spans="1:5" ht="22.5" customHeight="1" x14ac:dyDescent="0.15">
      <c r="A73" s="13" t="s">
        <v>44</v>
      </c>
      <c r="B73" s="11" t="s">
        <v>83</v>
      </c>
      <c r="C73" s="39">
        <v>50000</v>
      </c>
      <c r="D73" s="12">
        <f>ROUNDUP(D2*C2*$C$2/24,0)</f>
        <v>6</v>
      </c>
      <c r="E73" s="39">
        <f t="shared" si="1"/>
        <v>300000</v>
      </c>
    </row>
    <row r="74" spans="1:5" ht="22.5" customHeight="1" x14ac:dyDescent="0.15">
      <c r="A74" s="13" t="s">
        <v>46</v>
      </c>
      <c r="B74" s="11" t="s">
        <v>45</v>
      </c>
      <c r="C74" s="39">
        <v>100000</v>
      </c>
      <c r="D74" s="12">
        <v>1</v>
      </c>
      <c r="E74" s="39">
        <f t="shared" si="1"/>
        <v>100000</v>
      </c>
    </row>
    <row r="75" spans="1:5" ht="22.5" customHeight="1" x14ac:dyDescent="0.15">
      <c r="A75" s="13" t="s">
        <v>47</v>
      </c>
      <c r="B75" s="11" t="s">
        <v>17</v>
      </c>
      <c r="C75" s="39">
        <v>60000</v>
      </c>
      <c r="D75" s="12">
        <f>D2</f>
        <v>9</v>
      </c>
      <c r="E75" s="39">
        <f t="shared" ref="E75:E79" si="2">C75*D75</f>
        <v>540000</v>
      </c>
    </row>
    <row r="76" spans="1:5" ht="22.5" customHeight="1" x14ac:dyDescent="0.2">
      <c r="A76" s="9" t="s">
        <v>48</v>
      </c>
      <c r="B76" s="7"/>
      <c r="C76" s="14"/>
      <c r="D76" s="12"/>
      <c r="E76" s="39">
        <f t="shared" si="2"/>
        <v>0</v>
      </c>
    </row>
    <row r="77" spans="1:5" ht="22.5" customHeight="1" x14ac:dyDescent="0.15">
      <c r="A77" s="13" t="s">
        <v>49</v>
      </c>
      <c r="B77" s="11" t="s">
        <v>38</v>
      </c>
      <c r="C77" s="12">
        <v>2000000</v>
      </c>
      <c r="D77" s="12"/>
      <c r="E77" s="39">
        <f t="shared" si="2"/>
        <v>0</v>
      </c>
    </row>
    <row r="78" spans="1:5" ht="22.5" customHeight="1" x14ac:dyDescent="0.2">
      <c r="A78" s="9" t="s">
        <v>50</v>
      </c>
      <c r="B78" s="7"/>
      <c r="C78" s="14"/>
      <c r="D78" s="12"/>
      <c r="E78" s="39">
        <f t="shared" si="2"/>
        <v>0</v>
      </c>
    </row>
    <row r="79" spans="1:5" ht="22.5" customHeight="1" x14ac:dyDescent="0.15">
      <c r="A79" s="13" t="s">
        <v>51</v>
      </c>
      <c r="B79" s="11" t="s">
        <v>17</v>
      </c>
      <c r="C79" s="12">
        <v>16000</v>
      </c>
      <c r="D79" s="12">
        <f>D2</f>
        <v>9</v>
      </c>
      <c r="E79" s="39">
        <f t="shared" si="2"/>
        <v>144000</v>
      </c>
    </row>
    <row r="80" spans="1:5" ht="22.5" customHeight="1" x14ac:dyDescent="0.15">
      <c r="A80" s="10" t="s">
        <v>61</v>
      </c>
      <c r="B80" s="11" t="s">
        <v>5</v>
      </c>
      <c r="C80" s="12">
        <v>100000</v>
      </c>
      <c r="D80" s="12">
        <v>1</v>
      </c>
      <c r="E80" s="39">
        <f>C80*D80</f>
        <v>100000</v>
      </c>
    </row>
    <row r="81" spans="1:5" s="1" customFormat="1" ht="30" customHeight="1" x14ac:dyDescent="0.15">
      <c r="A81" s="18" t="s">
        <v>84</v>
      </c>
      <c r="B81" s="17"/>
      <c r="C81" s="5"/>
      <c r="D81" s="12"/>
      <c r="E81" s="42">
        <f>SUM(E7:E80)</f>
        <v>21544000</v>
      </c>
    </row>
    <row r="82" spans="1:5" ht="36" customHeight="1" x14ac:dyDescent="0.15">
      <c r="A82" s="18" t="s">
        <v>88</v>
      </c>
      <c r="B82" s="8"/>
      <c r="C82" s="8"/>
      <c r="D82" s="8"/>
      <c r="E82" s="42">
        <f>E81/D2</f>
        <v>2393777.777777778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8AA2B-3A69-47D5-A901-E6CF7D3EB629}">
  <sheetPr>
    <pageSetUpPr fitToPage="1"/>
  </sheetPr>
  <dimension ref="A1:N82"/>
  <sheetViews>
    <sheetView topLeftCell="A53" zoomScale="70" zoomScaleNormal="70" workbookViewId="0">
      <selection activeCell="D58" sqref="D58"/>
    </sheetView>
  </sheetViews>
  <sheetFormatPr baseColWidth="10" defaultColWidth="9" defaultRowHeight="13" x14ac:dyDescent="0.15"/>
  <cols>
    <col min="1" max="1" width="103.19921875" bestFit="1" customWidth="1"/>
    <col min="2" max="2" width="23.19921875" customWidth="1"/>
    <col min="3" max="3" width="29.19921875" customWidth="1"/>
    <col min="4" max="4" width="24.19921875" customWidth="1"/>
    <col min="5" max="5" width="25.3984375" customWidth="1"/>
    <col min="8" max="8" width="7" bestFit="1" customWidth="1"/>
    <col min="9" max="10" width="20.796875" bestFit="1" customWidth="1"/>
    <col min="11" max="11" width="18.59765625" bestFit="1" customWidth="1"/>
    <col min="12" max="12" width="20.3984375" bestFit="1" customWidth="1"/>
    <col min="13" max="13" width="18.59765625" bestFit="1" customWidth="1"/>
    <col min="14" max="14" width="27.3984375" bestFit="1" customWidth="1"/>
  </cols>
  <sheetData>
    <row r="1" spans="1:5" ht="25.5" customHeight="1" x14ac:dyDescent="0.15">
      <c r="A1" s="2" t="s">
        <v>77</v>
      </c>
      <c r="B1" s="2" t="s">
        <v>78</v>
      </c>
      <c r="C1" s="2" t="s">
        <v>79</v>
      </c>
      <c r="D1" s="2" t="s">
        <v>80</v>
      </c>
    </row>
    <row r="2" spans="1:5" ht="27.75" customHeight="1" x14ac:dyDescent="0.15">
      <c r="A2" s="3" t="s">
        <v>94</v>
      </c>
      <c r="B2" s="3">
        <v>54</v>
      </c>
      <c r="C2" s="3">
        <v>4</v>
      </c>
      <c r="D2" s="43">
        <v>10</v>
      </c>
    </row>
    <row r="3" spans="1:5" ht="27.75" customHeight="1" x14ac:dyDescent="0.15">
      <c r="A3" s="4"/>
      <c r="B3" s="4"/>
      <c r="C3" s="4"/>
    </row>
    <row r="4" spans="1:5" ht="35.25" customHeight="1" x14ac:dyDescent="0.15">
      <c r="A4" s="5" t="s">
        <v>0</v>
      </c>
      <c r="B4" s="5" t="s">
        <v>1</v>
      </c>
      <c r="C4" s="5" t="s">
        <v>2</v>
      </c>
      <c r="D4" s="5" t="s">
        <v>81</v>
      </c>
      <c r="E4" s="5" t="s">
        <v>82</v>
      </c>
    </row>
    <row r="5" spans="1:5" ht="22.5" customHeight="1" x14ac:dyDescent="0.2">
      <c r="A5" s="6" t="s">
        <v>3</v>
      </c>
      <c r="B5" s="7"/>
      <c r="C5" s="7"/>
      <c r="D5" s="8"/>
      <c r="E5" s="8"/>
    </row>
    <row r="6" spans="1:5" ht="22.5" customHeight="1" x14ac:dyDescent="0.2">
      <c r="A6" s="9" t="s">
        <v>4</v>
      </c>
      <c r="B6" s="7"/>
      <c r="C6" s="7"/>
      <c r="D6" s="8"/>
      <c r="E6" s="8"/>
    </row>
    <row r="7" spans="1:5" ht="22.5" customHeight="1" x14ac:dyDescent="0.15">
      <c r="A7" s="10" t="s">
        <v>97</v>
      </c>
      <c r="B7" s="11" t="s">
        <v>5</v>
      </c>
      <c r="C7" s="39">
        <v>500000</v>
      </c>
      <c r="D7" s="12">
        <f>ROUNDUP($D$2/2,0)</f>
        <v>5</v>
      </c>
      <c r="E7" s="39">
        <f t="shared" ref="E7:E9" si="0">C7*D7</f>
        <v>2500000</v>
      </c>
    </row>
    <row r="8" spans="1:5" ht="22.5" customHeight="1" x14ac:dyDescent="0.15">
      <c r="A8" s="10" t="s">
        <v>98</v>
      </c>
      <c r="B8" s="11" t="s">
        <v>5</v>
      </c>
      <c r="C8" s="39">
        <v>250000</v>
      </c>
      <c r="D8" s="12"/>
      <c r="E8" s="39">
        <f t="shared" si="0"/>
        <v>0</v>
      </c>
    </row>
    <row r="9" spans="1:5" ht="22.5" customHeight="1" x14ac:dyDescent="0.15">
      <c r="A9" s="10" t="s">
        <v>73</v>
      </c>
      <c r="B9" s="11" t="s">
        <v>5</v>
      </c>
      <c r="C9" s="39">
        <v>560000</v>
      </c>
      <c r="D9" s="12"/>
      <c r="E9" s="39">
        <f t="shared" si="0"/>
        <v>0</v>
      </c>
    </row>
    <row r="10" spans="1:5" ht="22.5" hidden="1" customHeight="1" x14ac:dyDescent="0.15">
      <c r="A10" s="13" t="s">
        <v>6</v>
      </c>
      <c r="B10" s="11" t="s">
        <v>5</v>
      </c>
      <c r="C10" s="39">
        <v>435000</v>
      </c>
      <c r="D10" s="12"/>
      <c r="E10" s="39">
        <f>C10*D10</f>
        <v>0</v>
      </c>
    </row>
    <row r="11" spans="1:5" ht="22.5" hidden="1" customHeight="1" x14ac:dyDescent="0.15">
      <c r="A11" s="13" t="s">
        <v>7</v>
      </c>
      <c r="B11" s="11" t="s">
        <v>5</v>
      </c>
      <c r="C11" s="39">
        <v>300000</v>
      </c>
      <c r="D11" s="12"/>
      <c r="E11" s="39">
        <f t="shared" ref="E11:E74" si="1">C11*D11</f>
        <v>0</v>
      </c>
    </row>
    <row r="12" spans="1:5" ht="22.5" hidden="1" customHeight="1" x14ac:dyDescent="0.15">
      <c r="A12" s="10" t="s">
        <v>52</v>
      </c>
      <c r="B12" s="11" t="s">
        <v>5</v>
      </c>
      <c r="C12" s="39">
        <v>250000</v>
      </c>
      <c r="D12" s="12"/>
      <c r="E12" s="39">
        <f t="shared" si="1"/>
        <v>0</v>
      </c>
    </row>
    <row r="13" spans="1:5" ht="22.5" hidden="1" customHeight="1" x14ac:dyDescent="0.15">
      <c r="A13" s="10" t="s">
        <v>53</v>
      </c>
      <c r="B13" s="11" t="s">
        <v>5</v>
      </c>
      <c r="C13" s="39">
        <v>275000</v>
      </c>
      <c r="D13" s="12"/>
      <c r="E13" s="39">
        <f t="shared" si="1"/>
        <v>0</v>
      </c>
    </row>
    <row r="14" spans="1:5" ht="22.5" hidden="1" customHeight="1" x14ac:dyDescent="0.15">
      <c r="A14" s="10" t="s">
        <v>54</v>
      </c>
      <c r="B14" s="11" t="s">
        <v>5</v>
      </c>
      <c r="C14" s="39">
        <v>450000</v>
      </c>
      <c r="D14" s="12"/>
      <c r="E14" s="39">
        <f t="shared" si="1"/>
        <v>0</v>
      </c>
    </row>
    <row r="15" spans="1:5" ht="22.5" hidden="1" customHeight="1" x14ac:dyDescent="0.15">
      <c r="A15" s="10" t="s">
        <v>55</v>
      </c>
      <c r="B15" s="11" t="s">
        <v>5</v>
      </c>
      <c r="C15" s="39">
        <v>450000</v>
      </c>
      <c r="D15" s="12"/>
      <c r="E15" s="39">
        <f t="shared" si="1"/>
        <v>0</v>
      </c>
    </row>
    <row r="16" spans="1:5" ht="22.5" hidden="1" customHeight="1" x14ac:dyDescent="0.15">
      <c r="A16" s="10" t="s">
        <v>65</v>
      </c>
      <c r="B16" s="11" t="s">
        <v>5</v>
      </c>
      <c r="C16" s="39">
        <v>337500</v>
      </c>
      <c r="D16" s="12"/>
      <c r="E16" s="39">
        <f t="shared" si="1"/>
        <v>0</v>
      </c>
    </row>
    <row r="17" spans="1:14" ht="22.5" hidden="1" customHeight="1" x14ac:dyDescent="0.2">
      <c r="A17" s="10" t="s">
        <v>67</v>
      </c>
      <c r="B17" s="11" t="s">
        <v>5</v>
      </c>
      <c r="C17" s="39">
        <v>375000</v>
      </c>
      <c r="D17" s="12"/>
      <c r="E17" s="39">
        <f t="shared" si="1"/>
        <v>0</v>
      </c>
      <c r="H17" s="36"/>
      <c r="I17" s="37"/>
      <c r="J17" s="37"/>
      <c r="K17" s="38"/>
      <c r="L17" s="38"/>
      <c r="M17" s="38"/>
      <c r="N17" s="38"/>
    </row>
    <row r="18" spans="1:14" ht="22.5" hidden="1" customHeight="1" x14ac:dyDescent="0.2">
      <c r="A18" s="10" t="s">
        <v>66</v>
      </c>
      <c r="B18" s="11" t="s">
        <v>5</v>
      </c>
      <c r="C18" s="39">
        <v>412500</v>
      </c>
      <c r="D18" s="12"/>
      <c r="E18" s="39">
        <f t="shared" si="1"/>
        <v>0</v>
      </c>
      <c r="H18" s="36"/>
      <c r="I18" s="37"/>
      <c r="J18" s="37"/>
      <c r="K18" s="38"/>
      <c r="L18" s="38"/>
      <c r="M18" s="38"/>
      <c r="N18" s="38"/>
    </row>
    <row r="19" spans="1:14" ht="22.5" hidden="1" customHeight="1" x14ac:dyDescent="0.2">
      <c r="A19" s="10" t="s">
        <v>68</v>
      </c>
      <c r="B19" s="11" t="s">
        <v>5</v>
      </c>
      <c r="C19" s="39">
        <v>487500</v>
      </c>
      <c r="D19" s="12"/>
      <c r="E19" s="39">
        <f t="shared" si="1"/>
        <v>0</v>
      </c>
      <c r="H19" s="36"/>
      <c r="I19" s="37"/>
      <c r="J19" s="37"/>
      <c r="K19" s="38"/>
      <c r="L19" s="38"/>
      <c r="M19" s="38"/>
      <c r="N19" s="38"/>
    </row>
    <row r="20" spans="1:14" ht="22.5" hidden="1" customHeight="1" x14ac:dyDescent="0.2">
      <c r="A20" s="10" t="s">
        <v>69</v>
      </c>
      <c r="B20" s="11" t="s">
        <v>5</v>
      </c>
      <c r="C20" s="39">
        <v>562500</v>
      </c>
      <c r="D20" s="12"/>
      <c r="E20" s="39">
        <f t="shared" si="1"/>
        <v>0</v>
      </c>
      <c r="H20" s="36"/>
      <c r="I20" s="37"/>
      <c r="J20" s="37"/>
      <c r="K20" s="38"/>
      <c r="L20" s="38"/>
      <c r="M20" s="38"/>
      <c r="N20" s="38"/>
    </row>
    <row r="21" spans="1:14" ht="22.5" customHeight="1" x14ac:dyDescent="0.2">
      <c r="A21" s="9" t="s">
        <v>8</v>
      </c>
      <c r="B21" s="7"/>
      <c r="C21" s="40"/>
      <c r="D21" s="12"/>
      <c r="E21" s="39"/>
    </row>
    <row r="22" spans="1:14" ht="22.5" customHeight="1" x14ac:dyDescent="0.15">
      <c r="A22" s="10" t="s">
        <v>62</v>
      </c>
      <c r="B22" s="11" t="s">
        <v>5</v>
      </c>
      <c r="C22" s="39">
        <v>750000</v>
      </c>
      <c r="D22" s="12">
        <f>ROUNDUP(D2/2,0)</f>
        <v>5</v>
      </c>
      <c r="E22" s="39">
        <f t="shared" si="1"/>
        <v>3750000</v>
      </c>
    </row>
    <row r="23" spans="1:14" ht="22.5" customHeight="1" x14ac:dyDescent="0.15">
      <c r="A23" s="10" t="s">
        <v>63</v>
      </c>
      <c r="B23" s="11" t="s">
        <v>5</v>
      </c>
      <c r="C23" s="39">
        <v>950000</v>
      </c>
      <c r="D23" s="12"/>
      <c r="E23" s="39">
        <f t="shared" si="1"/>
        <v>0</v>
      </c>
    </row>
    <row r="24" spans="1:14" ht="22.5" customHeight="1" x14ac:dyDescent="0.15">
      <c r="A24" s="10" t="s">
        <v>64</v>
      </c>
      <c r="B24" s="11" t="s">
        <v>5</v>
      </c>
      <c r="C24" s="39">
        <v>300000</v>
      </c>
      <c r="D24" s="12"/>
      <c r="E24" s="39">
        <f t="shared" si="1"/>
        <v>0</v>
      </c>
    </row>
    <row r="25" spans="1:14" ht="22.5" customHeight="1" x14ac:dyDescent="0.2">
      <c r="A25" s="9" t="s">
        <v>9</v>
      </c>
      <c r="B25" s="7"/>
      <c r="C25" s="40"/>
      <c r="D25" s="12"/>
      <c r="E25" s="39">
        <f t="shared" si="1"/>
        <v>0</v>
      </c>
    </row>
    <row r="26" spans="1:14" ht="22.5" customHeight="1" x14ac:dyDescent="0.15">
      <c r="A26" s="10" t="s">
        <v>56</v>
      </c>
      <c r="B26" s="11" t="s">
        <v>5</v>
      </c>
      <c r="C26" s="39">
        <v>425000</v>
      </c>
      <c r="D26" s="12"/>
      <c r="E26" s="39">
        <f t="shared" si="1"/>
        <v>0</v>
      </c>
    </row>
    <row r="27" spans="1:14" ht="22.5" customHeight="1" x14ac:dyDescent="0.15">
      <c r="A27" s="10" t="s">
        <v>10</v>
      </c>
      <c r="B27" s="11" t="s">
        <v>5</v>
      </c>
      <c r="C27" s="39">
        <v>260000</v>
      </c>
      <c r="D27" s="12">
        <f>ROUNDUP($D$2/2,0)</f>
        <v>5</v>
      </c>
      <c r="E27" s="39">
        <f t="shared" si="1"/>
        <v>1300000</v>
      </c>
    </row>
    <row r="28" spans="1:14" ht="22.5" customHeight="1" x14ac:dyDescent="0.15">
      <c r="A28" s="10" t="s">
        <v>11</v>
      </c>
      <c r="B28" s="11" t="s">
        <v>5</v>
      </c>
      <c r="C28" s="39">
        <v>300000</v>
      </c>
      <c r="D28" s="12"/>
      <c r="E28" s="39">
        <f t="shared" si="1"/>
        <v>0</v>
      </c>
    </row>
    <row r="29" spans="1:14" ht="22.5" customHeight="1" x14ac:dyDescent="0.15">
      <c r="A29" s="13" t="s">
        <v>12</v>
      </c>
      <c r="B29" s="11" t="s">
        <v>5</v>
      </c>
      <c r="C29" s="39">
        <v>316000</v>
      </c>
      <c r="D29" s="12"/>
      <c r="E29" s="39">
        <f t="shared" si="1"/>
        <v>0</v>
      </c>
    </row>
    <row r="30" spans="1:14" ht="22.5" customHeight="1" x14ac:dyDescent="0.15">
      <c r="A30" s="13" t="s">
        <v>13</v>
      </c>
      <c r="B30" s="11" t="s">
        <v>5</v>
      </c>
      <c r="C30" s="39">
        <v>380000</v>
      </c>
      <c r="D30" s="12"/>
      <c r="E30" s="39">
        <f t="shared" si="1"/>
        <v>0</v>
      </c>
    </row>
    <row r="31" spans="1:14" ht="22.5" customHeight="1" x14ac:dyDescent="0.15">
      <c r="A31" s="13" t="s">
        <v>14</v>
      </c>
      <c r="B31" s="11" t="s">
        <v>5</v>
      </c>
      <c r="C31" s="39">
        <v>440000</v>
      </c>
      <c r="D31" s="12"/>
      <c r="E31" s="39">
        <f t="shared" si="1"/>
        <v>0</v>
      </c>
    </row>
    <row r="32" spans="1:14" ht="22.5" customHeight="1" x14ac:dyDescent="0.2">
      <c r="A32" s="6" t="s">
        <v>15</v>
      </c>
      <c r="B32" s="7"/>
      <c r="C32" s="40"/>
      <c r="D32" s="12"/>
      <c r="E32" s="39">
        <f t="shared" si="1"/>
        <v>0</v>
      </c>
    </row>
    <row r="33" spans="1:5" ht="22.5" customHeight="1" x14ac:dyDescent="0.2">
      <c r="A33" s="9" t="s">
        <v>16</v>
      </c>
      <c r="B33" s="7"/>
      <c r="C33" s="40"/>
      <c r="D33" s="12"/>
      <c r="E33" s="39">
        <f t="shared" si="1"/>
        <v>0</v>
      </c>
    </row>
    <row r="34" spans="1:5" ht="22.5" customHeight="1" x14ac:dyDescent="0.15">
      <c r="A34" s="10" t="s">
        <v>60</v>
      </c>
      <c r="B34" s="11" t="s">
        <v>17</v>
      </c>
      <c r="C34" s="39">
        <v>75000</v>
      </c>
      <c r="D34" s="12">
        <f>$D$2</f>
        <v>10</v>
      </c>
      <c r="E34" s="39">
        <f t="shared" si="1"/>
        <v>750000</v>
      </c>
    </row>
    <row r="35" spans="1:5" ht="22.5" customHeight="1" x14ac:dyDescent="0.15">
      <c r="A35" s="13" t="s">
        <v>18</v>
      </c>
      <c r="B35" s="11" t="s">
        <v>17</v>
      </c>
      <c r="C35" s="39">
        <v>55000</v>
      </c>
      <c r="D35" s="12"/>
      <c r="E35" s="39">
        <f t="shared" si="1"/>
        <v>0</v>
      </c>
    </row>
    <row r="36" spans="1:5" ht="22.5" customHeight="1" x14ac:dyDescent="0.15">
      <c r="A36" s="10" t="s">
        <v>19</v>
      </c>
      <c r="B36" s="11" t="s">
        <v>17</v>
      </c>
      <c r="C36" s="39">
        <v>25000</v>
      </c>
      <c r="D36" s="12">
        <f>$D$2</f>
        <v>10</v>
      </c>
      <c r="E36" s="39">
        <f t="shared" si="1"/>
        <v>250000</v>
      </c>
    </row>
    <row r="37" spans="1:5" ht="22.5" customHeight="1" x14ac:dyDescent="0.15">
      <c r="A37" s="10" t="s">
        <v>76</v>
      </c>
      <c r="B37" s="11" t="s">
        <v>5</v>
      </c>
      <c r="C37" s="39">
        <v>250000</v>
      </c>
      <c r="D37" s="12">
        <v>1</v>
      </c>
      <c r="E37" s="39">
        <f t="shared" si="1"/>
        <v>250000</v>
      </c>
    </row>
    <row r="38" spans="1:5" ht="22.5" customHeight="1" x14ac:dyDescent="0.15">
      <c r="A38" s="13" t="s">
        <v>95</v>
      </c>
      <c r="B38" s="11" t="s">
        <v>17</v>
      </c>
      <c r="C38" s="39">
        <v>65000</v>
      </c>
      <c r="D38" s="12"/>
      <c r="E38" s="39">
        <f t="shared" si="1"/>
        <v>0</v>
      </c>
    </row>
    <row r="39" spans="1:5" ht="22.5" customHeight="1" x14ac:dyDescent="0.15">
      <c r="A39" s="13" t="s">
        <v>96</v>
      </c>
      <c r="B39" s="11" t="s">
        <v>17</v>
      </c>
      <c r="C39" s="39">
        <v>65000</v>
      </c>
      <c r="D39" s="12"/>
      <c r="E39" s="39">
        <f t="shared" si="1"/>
        <v>0</v>
      </c>
    </row>
    <row r="40" spans="1:5" ht="22.5" customHeight="1" x14ac:dyDescent="0.15">
      <c r="A40" s="10" t="s">
        <v>57</v>
      </c>
      <c r="B40" s="11" t="s">
        <v>17</v>
      </c>
      <c r="C40" s="39">
        <v>60000</v>
      </c>
      <c r="D40" s="12">
        <f>D2</f>
        <v>10</v>
      </c>
      <c r="E40" s="39">
        <f t="shared" si="1"/>
        <v>600000</v>
      </c>
    </row>
    <row r="41" spans="1:5" ht="22.5" customHeight="1" x14ac:dyDescent="0.15">
      <c r="A41" s="10" t="s">
        <v>58</v>
      </c>
      <c r="B41" s="11" t="s">
        <v>17</v>
      </c>
      <c r="C41" s="39">
        <v>60000</v>
      </c>
      <c r="D41" s="12"/>
      <c r="E41" s="39">
        <f t="shared" si="1"/>
        <v>0</v>
      </c>
    </row>
    <row r="42" spans="1:5" ht="22.5" customHeight="1" x14ac:dyDescent="0.15">
      <c r="A42" s="13" t="s">
        <v>20</v>
      </c>
      <c r="B42" s="11" t="s">
        <v>5</v>
      </c>
      <c r="C42" s="39">
        <v>35000</v>
      </c>
      <c r="D42" s="12"/>
      <c r="E42" s="39">
        <f t="shared" si="1"/>
        <v>0</v>
      </c>
    </row>
    <row r="43" spans="1:5" ht="22.5" customHeight="1" x14ac:dyDescent="0.2">
      <c r="A43" s="9" t="s">
        <v>21</v>
      </c>
      <c r="B43" s="7"/>
      <c r="C43" s="41"/>
      <c r="D43" s="12"/>
      <c r="E43" s="39"/>
    </row>
    <row r="44" spans="1:5" ht="22.5" customHeight="1" x14ac:dyDescent="0.15">
      <c r="A44" s="10" t="s">
        <v>59</v>
      </c>
      <c r="B44" s="11" t="s">
        <v>17</v>
      </c>
      <c r="C44" s="39">
        <v>160000</v>
      </c>
      <c r="D44" s="12">
        <f>D2</f>
        <v>10</v>
      </c>
      <c r="E44" s="39">
        <f t="shared" si="1"/>
        <v>1600000</v>
      </c>
    </row>
    <row r="45" spans="1:5" ht="22.5" customHeight="1" x14ac:dyDescent="0.15">
      <c r="A45" s="13" t="s">
        <v>22</v>
      </c>
      <c r="B45" s="11" t="s">
        <v>17</v>
      </c>
      <c r="C45" s="39">
        <v>500000</v>
      </c>
      <c r="D45" s="12">
        <f>ROUNDUP(D2/4,0)</f>
        <v>3</v>
      </c>
      <c r="E45" s="39">
        <f t="shared" si="1"/>
        <v>1500000</v>
      </c>
    </row>
    <row r="46" spans="1:5" ht="22.5" customHeight="1" x14ac:dyDescent="0.2">
      <c r="A46" s="9" t="s">
        <v>23</v>
      </c>
      <c r="B46" s="7"/>
      <c r="C46" s="41"/>
      <c r="D46" s="12"/>
      <c r="E46" s="39">
        <f t="shared" si="1"/>
        <v>0</v>
      </c>
    </row>
    <row r="47" spans="1:5" ht="22.5" customHeight="1" x14ac:dyDescent="0.15">
      <c r="A47" s="13" t="s">
        <v>24</v>
      </c>
      <c r="B47" s="11" t="s">
        <v>17</v>
      </c>
      <c r="C47" s="39">
        <v>150000</v>
      </c>
      <c r="D47" s="12">
        <f>D2</f>
        <v>10</v>
      </c>
      <c r="E47" s="39">
        <f t="shared" si="1"/>
        <v>1500000</v>
      </c>
    </row>
    <row r="48" spans="1:5" ht="22.5" customHeight="1" x14ac:dyDescent="0.15">
      <c r="A48" s="10" t="s">
        <v>75</v>
      </c>
      <c r="B48" s="11" t="s">
        <v>5</v>
      </c>
      <c r="C48" s="39">
        <v>200000</v>
      </c>
      <c r="D48" s="12">
        <v>1</v>
      </c>
      <c r="E48" s="39">
        <f t="shared" si="1"/>
        <v>200000</v>
      </c>
    </row>
    <row r="49" spans="1:5" ht="22.5" customHeight="1" x14ac:dyDescent="0.15">
      <c r="A49" s="13" t="s">
        <v>25</v>
      </c>
      <c r="B49" s="11" t="s">
        <v>17</v>
      </c>
      <c r="C49" s="39">
        <v>50000</v>
      </c>
      <c r="D49" s="12">
        <f>D2</f>
        <v>10</v>
      </c>
      <c r="E49" s="39">
        <f t="shared" si="1"/>
        <v>500000</v>
      </c>
    </row>
    <row r="50" spans="1:5" ht="22.5" customHeight="1" x14ac:dyDescent="0.15">
      <c r="A50" s="13" t="s">
        <v>26</v>
      </c>
      <c r="B50" s="11" t="s">
        <v>17</v>
      </c>
      <c r="C50" s="39">
        <v>40000</v>
      </c>
      <c r="D50" s="12">
        <f>$D$2</f>
        <v>10</v>
      </c>
      <c r="E50" s="39">
        <f t="shared" si="1"/>
        <v>400000</v>
      </c>
    </row>
    <row r="51" spans="1:5" ht="22.5" customHeight="1" x14ac:dyDescent="0.2">
      <c r="A51" s="16" t="s">
        <v>27</v>
      </c>
      <c r="B51" s="7"/>
      <c r="C51" s="40"/>
      <c r="D51" s="12"/>
      <c r="E51" s="39"/>
    </row>
    <row r="52" spans="1:5" ht="22.5" customHeight="1" x14ac:dyDescent="0.2">
      <c r="A52" s="9" t="s">
        <v>28</v>
      </c>
      <c r="B52" s="7"/>
      <c r="C52" s="40"/>
      <c r="D52" s="12"/>
      <c r="E52" s="39"/>
    </row>
    <row r="53" spans="1:5" ht="22.5" customHeight="1" x14ac:dyDescent="0.15">
      <c r="A53" s="13" t="s">
        <v>29</v>
      </c>
      <c r="B53" s="11" t="s">
        <v>30</v>
      </c>
      <c r="C53" s="39">
        <v>450000</v>
      </c>
      <c r="D53" s="12">
        <f>IF($D$2=1,$C$2, IF($D$2=2,$C$2,0))</f>
        <v>0</v>
      </c>
      <c r="E53" s="39">
        <f t="shared" si="1"/>
        <v>0</v>
      </c>
    </row>
    <row r="54" spans="1:5" ht="22.5" customHeight="1" x14ac:dyDescent="0.15">
      <c r="A54" s="13" t="s">
        <v>31</v>
      </c>
      <c r="B54" s="11" t="s">
        <v>30</v>
      </c>
      <c r="C54" s="39">
        <v>550000</v>
      </c>
      <c r="D54" s="12">
        <f>IF($D$2=3,$C$2, 0)</f>
        <v>0</v>
      </c>
      <c r="E54" s="39">
        <f t="shared" si="1"/>
        <v>0</v>
      </c>
    </row>
    <row r="55" spans="1:5" ht="22.5" customHeight="1" x14ac:dyDescent="0.15">
      <c r="A55" s="10" t="s">
        <v>32</v>
      </c>
      <c r="B55" s="11" t="s">
        <v>30</v>
      </c>
      <c r="C55" s="39">
        <v>1100000</v>
      </c>
      <c r="D55" s="12">
        <f>IF((($D$2&gt;=4)*($D$2&lt;=11))=1,$C$2,0)</f>
        <v>4</v>
      </c>
      <c r="E55" s="39">
        <f t="shared" si="1"/>
        <v>4400000</v>
      </c>
    </row>
    <row r="56" spans="1:5" ht="22.5" customHeight="1" x14ac:dyDescent="0.15">
      <c r="A56" s="13" t="s">
        <v>33</v>
      </c>
      <c r="B56" s="11" t="s">
        <v>30</v>
      </c>
      <c r="C56" s="39">
        <v>1300000</v>
      </c>
      <c r="D56" s="12"/>
      <c r="E56" s="39">
        <f t="shared" si="1"/>
        <v>0</v>
      </c>
    </row>
    <row r="57" spans="1:5" ht="22.5" customHeight="1" x14ac:dyDescent="0.15">
      <c r="A57" s="10" t="s">
        <v>91</v>
      </c>
      <c r="B57" s="11" t="s">
        <v>30</v>
      </c>
      <c r="C57" s="39">
        <v>650000</v>
      </c>
      <c r="D57" s="12">
        <v>4</v>
      </c>
      <c r="E57" s="39">
        <f t="shared" si="1"/>
        <v>2600000</v>
      </c>
    </row>
    <row r="58" spans="1:5" ht="22.5" customHeight="1" x14ac:dyDescent="0.2">
      <c r="A58" s="9" t="s">
        <v>34</v>
      </c>
      <c r="B58" s="7"/>
      <c r="C58" s="40"/>
      <c r="D58" s="12"/>
      <c r="E58" s="39"/>
    </row>
    <row r="59" spans="1:5" ht="22.5" customHeight="1" x14ac:dyDescent="0.15">
      <c r="A59" s="13" t="s">
        <v>35</v>
      </c>
      <c r="B59" s="11" t="s">
        <v>5</v>
      </c>
      <c r="C59" s="39">
        <v>200000</v>
      </c>
      <c r="D59" s="12">
        <f>IF((($D$2&gt;=10)*($D$2&lt;=11))=1,2,1)</f>
        <v>2</v>
      </c>
      <c r="E59" s="39">
        <f t="shared" si="1"/>
        <v>400000</v>
      </c>
    </row>
    <row r="60" spans="1:5" ht="22.5" customHeight="1" x14ac:dyDescent="0.15">
      <c r="A60" s="10" t="s">
        <v>70</v>
      </c>
      <c r="B60" s="11" t="s">
        <v>5</v>
      </c>
      <c r="C60" s="39">
        <v>300000</v>
      </c>
      <c r="D60" s="12"/>
      <c r="E60" s="39">
        <f t="shared" si="1"/>
        <v>0</v>
      </c>
    </row>
    <row r="61" spans="1:5" ht="22.5" customHeight="1" x14ac:dyDescent="0.2">
      <c r="A61" s="9" t="s">
        <v>36</v>
      </c>
      <c r="B61" s="7"/>
      <c r="C61" s="40"/>
      <c r="D61" s="12"/>
      <c r="E61" s="39">
        <f t="shared" si="1"/>
        <v>0</v>
      </c>
    </row>
    <row r="62" spans="1:5" ht="22.5" customHeight="1" x14ac:dyDescent="0.15">
      <c r="A62" s="13" t="s">
        <v>37</v>
      </c>
      <c r="B62" s="11" t="s">
        <v>38</v>
      </c>
      <c r="C62" s="39">
        <v>200000</v>
      </c>
      <c r="D62" s="12"/>
      <c r="E62" s="39">
        <f t="shared" si="1"/>
        <v>0</v>
      </c>
    </row>
    <row r="63" spans="1:5" ht="22.5" customHeight="1" x14ac:dyDescent="0.2">
      <c r="A63" s="15" t="s">
        <v>74</v>
      </c>
      <c r="B63" s="7"/>
      <c r="C63" s="40"/>
      <c r="D63" s="12"/>
      <c r="E63" s="39">
        <f t="shared" si="1"/>
        <v>0</v>
      </c>
    </row>
    <row r="64" spans="1:5" ht="22.5" customHeight="1" x14ac:dyDescent="0.15">
      <c r="A64" s="10" t="s">
        <v>92</v>
      </c>
      <c r="B64" s="11" t="s">
        <v>38</v>
      </c>
      <c r="C64" s="39">
        <v>700000</v>
      </c>
      <c r="D64" s="12">
        <f>IF((($D$2&gt;=1)*($D$2&lt;=3))=1,1,0)</f>
        <v>0</v>
      </c>
      <c r="E64" s="39">
        <f t="shared" si="1"/>
        <v>0</v>
      </c>
    </row>
    <row r="65" spans="1:5" ht="22.5" customHeight="1" x14ac:dyDescent="0.15">
      <c r="A65" s="10" t="s">
        <v>93</v>
      </c>
      <c r="B65" s="11" t="s">
        <v>38</v>
      </c>
      <c r="C65" s="39">
        <v>1100000</v>
      </c>
      <c r="D65" s="12">
        <f>IF((($D$2&gt;=4)*($D$2&lt;=11))=1,1,0)</f>
        <v>1</v>
      </c>
      <c r="E65" s="39">
        <f t="shared" si="1"/>
        <v>1100000</v>
      </c>
    </row>
    <row r="66" spans="1:5" ht="22.5" customHeight="1" x14ac:dyDescent="0.2">
      <c r="A66" s="16" t="s">
        <v>39</v>
      </c>
      <c r="B66" s="7"/>
      <c r="C66" s="40"/>
      <c r="D66" s="12"/>
      <c r="E66" s="39">
        <f t="shared" si="1"/>
        <v>0</v>
      </c>
    </row>
    <row r="67" spans="1:5" ht="22.5" customHeight="1" x14ac:dyDescent="0.2">
      <c r="A67" s="9" t="s">
        <v>40</v>
      </c>
      <c r="B67" s="7"/>
      <c r="C67" s="40"/>
      <c r="D67" s="12"/>
      <c r="E67" s="39">
        <f t="shared" si="1"/>
        <v>0</v>
      </c>
    </row>
    <row r="68" spans="1:5" ht="22.5" customHeight="1" x14ac:dyDescent="0.15">
      <c r="A68" s="13" t="s">
        <v>41</v>
      </c>
      <c r="B68" s="11" t="s">
        <v>30</v>
      </c>
      <c r="C68" s="39">
        <v>250000</v>
      </c>
      <c r="D68" s="12">
        <f>IF((($D$2&gt;=1)*($D$2&lt;=3))=1,$C$2,0)</f>
        <v>0</v>
      </c>
      <c r="E68" s="39">
        <f t="shared" si="1"/>
        <v>0</v>
      </c>
    </row>
    <row r="69" spans="1:5" ht="22.5" customHeight="1" x14ac:dyDescent="0.15">
      <c r="A69" s="10" t="s">
        <v>71</v>
      </c>
      <c r="B69" s="11" t="s">
        <v>30</v>
      </c>
      <c r="C69" s="39">
        <v>250000</v>
      </c>
      <c r="D69" s="12">
        <f>IF((($D$2&gt;=4)*($D$2&lt;=11))=1,$C$2,0)</f>
        <v>4</v>
      </c>
      <c r="E69" s="39">
        <f t="shared" si="1"/>
        <v>1000000</v>
      </c>
    </row>
    <row r="70" spans="1:5" ht="22.5" customHeight="1" x14ac:dyDescent="0.15">
      <c r="A70" s="10" t="s">
        <v>72</v>
      </c>
      <c r="B70" s="11" t="s">
        <v>30</v>
      </c>
      <c r="C70" s="39">
        <v>200000</v>
      </c>
      <c r="D70" s="12"/>
      <c r="E70" s="39">
        <f t="shared" si="1"/>
        <v>0</v>
      </c>
    </row>
    <row r="71" spans="1:5" ht="22.5" customHeight="1" x14ac:dyDescent="0.2">
      <c r="A71" s="16" t="s">
        <v>42</v>
      </c>
      <c r="B71" s="7"/>
      <c r="C71" s="40"/>
      <c r="D71" s="12"/>
      <c r="E71" s="39">
        <f t="shared" si="1"/>
        <v>0</v>
      </c>
    </row>
    <row r="72" spans="1:5" ht="22.5" customHeight="1" x14ac:dyDescent="0.2">
      <c r="A72" s="9" t="s">
        <v>43</v>
      </c>
      <c r="B72" s="7"/>
      <c r="C72" s="40"/>
      <c r="D72" s="12"/>
      <c r="E72" s="39">
        <f t="shared" si="1"/>
        <v>0</v>
      </c>
    </row>
    <row r="73" spans="1:5" ht="22.5" customHeight="1" x14ac:dyDescent="0.15">
      <c r="A73" s="13" t="s">
        <v>44</v>
      </c>
      <c r="B73" s="11" t="s">
        <v>83</v>
      </c>
      <c r="C73" s="39">
        <v>50000</v>
      </c>
      <c r="D73" s="12">
        <f>ROUNDUP(D2*C2*$C$2/24,0)</f>
        <v>7</v>
      </c>
      <c r="E73" s="39">
        <f t="shared" si="1"/>
        <v>350000</v>
      </c>
    </row>
    <row r="74" spans="1:5" ht="22.5" customHeight="1" x14ac:dyDescent="0.15">
      <c r="A74" s="13" t="s">
        <v>46</v>
      </c>
      <c r="B74" s="11" t="s">
        <v>45</v>
      </c>
      <c r="C74" s="39">
        <v>100000</v>
      </c>
      <c r="D74" s="12">
        <v>1</v>
      </c>
      <c r="E74" s="39">
        <f t="shared" si="1"/>
        <v>100000</v>
      </c>
    </row>
    <row r="75" spans="1:5" ht="22.5" customHeight="1" x14ac:dyDescent="0.15">
      <c r="A75" s="13" t="s">
        <v>47</v>
      </c>
      <c r="B75" s="11" t="s">
        <v>17</v>
      </c>
      <c r="C75" s="39">
        <v>60000</v>
      </c>
      <c r="D75" s="12">
        <f>D2</f>
        <v>10</v>
      </c>
      <c r="E75" s="39">
        <f t="shared" ref="E75:E79" si="2">C75*D75</f>
        <v>600000</v>
      </c>
    </row>
    <row r="76" spans="1:5" ht="22.5" customHeight="1" x14ac:dyDescent="0.2">
      <c r="A76" s="9" t="s">
        <v>48</v>
      </c>
      <c r="B76" s="7"/>
      <c r="C76" s="14"/>
      <c r="D76" s="12"/>
      <c r="E76" s="39">
        <f t="shared" si="2"/>
        <v>0</v>
      </c>
    </row>
    <row r="77" spans="1:5" ht="22.5" customHeight="1" x14ac:dyDescent="0.15">
      <c r="A77" s="13" t="s">
        <v>49</v>
      </c>
      <c r="B77" s="11" t="s">
        <v>38</v>
      </c>
      <c r="C77" s="12">
        <v>2000000</v>
      </c>
      <c r="D77" s="12"/>
      <c r="E77" s="39">
        <f t="shared" si="2"/>
        <v>0</v>
      </c>
    </row>
    <row r="78" spans="1:5" ht="22.5" customHeight="1" x14ac:dyDescent="0.2">
      <c r="A78" s="9" t="s">
        <v>50</v>
      </c>
      <c r="B78" s="7"/>
      <c r="C78" s="14"/>
      <c r="D78" s="12"/>
      <c r="E78" s="39">
        <f t="shared" si="2"/>
        <v>0</v>
      </c>
    </row>
    <row r="79" spans="1:5" ht="22.5" customHeight="1" x14ac:dyDescent="0.15">
      <c r="A79" s="13" t="s">
        <v>51</v>
      </c>
      <c r="B79" s="11" t="s">
        <v>17</v>
      </c>
      <c r="C79" s="12">
        <v>16000</v>
      </c>
      <c r="D79" s="12">
        <f>D2</f>
        <v>10</v>
      </c>
      <c r="E79" s="39">
        <f t="shared" si="2"/>
        <v>160000</v>
      </c>
    </row>
    <row r="80" spans="1:5" ht="22.5" customHeight="1" x14ac:dyDescent="0.15">
      <c r="A80" s="10" t="s">
        <v>61</v>
      </c>
      <c r="B80" s="11" t="s">
        <v>5</v>
      </c>
      <c r="C80" s="12">
        <v>100000</v>
      </c>
      <c r="D80" s="12">
        <v>1</v>
      </c>
      <c r="E80" s="39">
        <f>C80*D80</f>
        <v>100000</v>
      </c>
    </row>
    <row r="81" spans="1:5" s="1" customFormat="1" ht="30" customHeight="1" x14ac:dyDescent="0.15">
      <c r="A81" s="18" t="s">
        <v>84</v>
      </c>
      <c r="B81" s="17"/>
      <c r="C81" s="5"/>
      <c r="D81" s="12"/>
      <c r="E81" s="42">
        <f>SUM(E7:E80)</f>
        <v>25910000</v>
      </c>
    </row>
    <row r="82" spans="1:5" ht="36" customHeight="1" x14ac:dyDescent="0.15">
      <c r="A82" s="18" t="s">
        <v>88</v>
      </c>
      <c r="B82" s="8"/>
      <c r="C82" s="8"/>
      <c r="D82" s="8"/>
      <c r="E82" s="42">
        <f>E81/D2</f>
        <v>2591000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3CEE-3B72-4DBF-92C3-09DC67959DB4}">
  <sheetPr>
    <pageSetUpPr fitToPage="1"/>
  </sheetPr>
  <dimension ref="A1:N82"/>
  <sheetViews>
    <sheetView topLeftCell="A51" zoomScale="70" zoomScaleNormal="70" workbookViewId="0">
      <selection activeCell="D58" sqref="D58"/>
    </sheetView>
  </sheetViews>
  <sheetFormatPr baseColWidth="10" defaultColWidth="9" defaultRowHeight="13" x14ac:dyDescent="0.15"/>
  <cols>
    <col min="1" max="1" width="103.19921875" bestFit="1" customWidth="1"/>
    <col min="2" max="2" width="23.19921875" customWidth="1"/>
    <col min="3" max="3" width="29.19921875" customWidth="1"/>
    <col min="4" max="4" width="24.19921875" customWidth="1"/>
    <col min="5" max="5" width="25.3984375" customWidth="1"/>
    <col min="8" max="8" width="7" bestFit="1" customWidth="1"/>
    <col min="9" max="10" width="20.796875" bestFit="1" customWidth="1"/>
    <col min="11" max="11" width="18.59765625" bestFit="1" customWidth="1"/>
    <col min="12" max="12" width="20.3984375" bestFit="1" customWidth="1"/>
    <col min="13" max="13" width="18.59765625" bestFit="1" customWidth="1"/>
    <col min="14" max="14" width="27.3984375" bestFit="1" customWidth="1"/>
  </cols>
  <sheetData>
    <row r="1" spans="1:5" ht="25.5" customHeight="1" x14ac:dyDescent="0.15">
      <c r="A1" s="2" t="s">
        <v>77</v>
      </c>
      <c r="B1" s="2" t="s">
        <v>78</v>
      </c>
      <c r="C1" s="2" t="s">
        <v>79</v>
      </c>
      <c r="D1" s="2" t="s">
        <v>80</v>
      </c>
    </row>
    <row r="2" spans="1:5" ht="27.75" customHeight="1" x14ac:dyDescent="0.15">
      <c r="A2" s="3" t="s">
        <v>94</v>
      </c>
      <c r="B2" s="3">
        <v>54</v>
      </c>
      <c r="C2" s="3">
        <v>4</v>
      </c>
      <c r="D2" s="43">
        <v>11</v>
      </c>
    </row>
    <row r="3" spans="1:5" ht="27.75" customHeight="1" x14ac:dyDescent="0.15">
      <c r="A3" s="4"/>
      <c r="B3" s="4"/>
      <c r="C3" s="4"/>
    </row>
    <row r="4" spans="1:5" ht="35.25" customHeight="1" x14ac:dyDescent="0.15">
      <c r="A4" s="5" t="s">
        <v>0</v>
      </c>
      <c r="B4" s="5" t="s">
        <v>1</v>
      </c>
      <c r="C4" s="5" t="s">
        <v>2</v>
      </c>
      <c r="D4" s="5" t="s">
        <v>81</v>
      </c>
      <c r="E4" s="5" t="s">
        <v>82</v>
      </c>
    </row>
    <row r="5" spans="1:5" ht="22.5" customHeight="1" x14ac:dyDescent="0.2">
      <c r="A5" s="6" t="s">
        <v>3</v>
      </c>
      <c r="B5" s="7"/>
      <c r="C5" s="7"/>
      <c r="D5" s="8"/>
      <c r="E5" s="8"/>
    </row>
    <row r="6" spans="1:5" ht="22.5" customHeight="1" x14ac:dyDescent="0.2">
      <c r="A6" s="9" t="s">
        <v>4</v>
      </c>
      <c r="B6" s="7"/>
      <c r="C6" s="7"/>
      <c r="D6" s="8"/>
      <c r="E6" s="8"/>
    </row>
    <row r="7" spans="1:5" ht="22.5" customHeight="1" x14ac:dyDescent="0.15">
      <c r="A7" s="10" t="s">
        <v>97</v>
      </c>
      <c r="B7" s="11" t="s">
        <v>5</v>
      </c>
      <c r="C7" s="39">
        <v>500000</v>
      </c>
      <c r="D7" s="12">
        <v>5</v>
      </c>
      <c r="E7" s="39">
        <f t="shared" ref="E7:E9" si="0">C7*D7</f>
        <v>2500000</v>
      </c>
    </row>
    <row r="8" spans="1:5" ht="22.5" customHeight="1" x14ac:dyDescent="0.15">
      <c r="A8" s="10" t="s">
        <v>98</v>
      </c>
      <c r="B8" s="11" t="s">
        <v>5</v>
      </c>
      <c r="C8" s="39">
        <v>250000</v>
      </c>
      <c r="D8" s="12">
        <v>1</v>
      </c>
      <c r="E8" s="39">
        <f t="shared" si="0"/>
        <v>250000</v>
      </c>
    </row>
    <row r="9" spans="1:5" ht="22.5" customHeight="1" x14ac:dyDescent="0.15">
      <c r="A9" s="10" t="s">
        <v>73</v>
      </c>
      <c r="B9" s="11" t="s">
        <v>5</v>
      </c>
      <c r="C9" s="39">
        <v>560000</v>
      </c>
      <c r="D9" s="12"/>
      <c r="E9" s="39">
        <f t="shared" si="0"/>
        <v>0</v>
      </c>
    </row>
    <row r="10" spans="1:5" ht="22.5" hidden="1" customHeight="1" x14ac:dyDescent="0.15">
      <c r="A10" s="13" t="s">
        <v>6</v>
      </c>
      <c r="B10" s="11" t="s">
        <v>5</v>
      </c>
      <c r="C10" s="39">
        <v>435000</v>
      </c>
      <c r="D10" s="12"/>
      <c r="E10" s="39">
        <f>C10*D10</f>
        <v>0</v>
      </c>
    </row>
    <row r="11" spans="1:5" ht="22.5" hidden="1" customHeight="1" x14ac:dyDescent="0.15">
      <c r="A11" s="13" t="s">
        <v>7</v>
      </c>
      <c r="B11" s="11" t="s">
        <v>5</v>
      </c>
      <c r="C11" s="39">
        <v>300000</v>
      </c>
      <c r="D11" s="12"/>
      <c r="E11" s="39">
        <f t="shared" ref="E11:E74" si="1">C11*D11</f>
        <v>0</v>
      </c>
    </row>
    <row r="12" spans="1:5" ht="22.5" hidden="1" customHeight="1" x14ac:dyDescent="0.15">
      <c r="A12" s="10" t="s">
        <v>52</v>
      </c>
      <c r="B12" s="11" t="s">
        <v>5</v>
      </c>
      <c r="C12" s="39">
        <v>250000</v>
      </c>
      <c r="D12" s="12"/>
      <c r="E12" s="39">
        <f t="shared" si="1"/>
        <v>0</v>
      </c>
    </row>
    <row r="13" spans="1:5" ht="22.5" hidden="1" customHeight="1" x14ac:dyDescent="0.15">
      <c r="A13" s="10" t="s">
        <v>53</v>
      </c>
      <c r="B13" s="11" t="s">
        <v>5</v>
      </c>
      <c r="C13" s="39">
        <v>275000</v>
      </c>
      <c r="D13" s="12"/>
      <c r="E13" s="39">
        <f t="shared" si="1"/>
        <v>0</v>
      </c>
    </row>
    <row r="14" spans="1:5" ht="22.5" hidden="1" customHeight="1" x14ac:dyDescent="0.15">
      <c r="A14" s="10" t="s">
        <v>54</v>
      </c>
      <c r="B14" s="11" t="s">
        <v>5</v>
      </c>
      <c r="C14" s="39">
        <v>450000</v>
      </c>
      <c r="D14" s="12"/>
      <c r="E14" s="39">
        <f t="shared" si="1"/>
        <v>0</v>
      </c>
    </row>
    <row r="15" spans="1:5" ht="22.5" hidden="1" customHeight="1" x14ac:dyDescent="0.15">
      <c r="A15" s="10" t="s">
        <v>55</v>
      </c>
      <c r="B15" s="11" t="s">
        <v>5</v>
      </c>
      <c r="C15" s="39">
        <v>450000</v>
      </c>
      <c r="D15" s="12"/>
      <c r="E15" s="39">
        <f t="shared" si="1"/>
        <v>0</v>
      </c>
    </row>
    <row r="16" spans="1:5" ht="22.5" hidden="1" customHeight="1" x14ac:dyDescent="0.15">
      <c r="A16" s="10" t="s">
        <v>65</v>
      </c>
      <c r="B16" s="11" t="s">
        <v>5</v>
      </c>
      <c r="C16" s="39">
        <v>337500</v>
      </c>
      <c r="D16" s="12"/>
      <c r="E16" s="39">
        <f t="shared" si="1"/>
        <v>0</v>
      </c>
    </row>
    <row r="17" spans="1:14" ht="22.5" hidden="1" customHeight="1" x14ac:dyDescent="0.2">
      <c r="A17" s="10" t="s">
        <v>67</v>
      </c>
      <c r="B17" s="11" t="s">
        <v>5</v>
      </c>
      <c r="C17" s="39">
        <v>375000</v>
      </c>
      <c r="D17" s="12"/>
      <c r="E17" s="39">
        <f t="shared" si="1"/>
        <v>0</v>
      </c>
      <c r="H17" s="36"/>
      <c r="I17" s="37"/>
      <c r="J17" s="37"/>
      <c r="K17" s="38"/>
      <c r="L17" s="38"/>
      <c r="M17" s="38"/>
      <c r="N17" s="38"/>
    </row>
    <row r="18" spans="1:14" ht="22.5" hidden="1" customHeight="1" x14ac:dyDescent="0.2">
      <c r="A18" s="10" t="s">
        <v>66</v>
      </c>
      <c r="B18" s="11" t="s">
        <v>5</v>
      </c>
      <c r="C18" s="39">
        <v>412500</v>
      </c>
      <c r="D18" s="12"/>
      <c r="E18" s="39">
        <f t="shared" si="1"/>
        <v>0</v>
      </c>
      <c r="H18" s="36"/>
      <c r="I18" s="37"/>
      <c r="J18" s="37"/>
      <c r="K18" s="38"/>
      <c r="L18" s="38"/>
      <c r="M18" s="38"/>
      <c r="N18" s="38"/>
    </row>
    <row r="19" spans="1:14" ht="22.5" hidden="1" customHeight="1" x14ac:dyDescent="0.2">
      <c r="A19" s="10" t="s">
        <v>68</v>
      </c>
      <c r="B19" s="11" t="s">
        <v>5</v>
      </c>
      <c r="C19" s="39">
        <v>487500</v>
      </c>
      <c r="D19" s="12"/>
      <c r="E19" s="39">
        <f t="shared" si="1"/>
        <v>0</v>
      </c>
      <c r="H19" s="36"/>
      <c r="I19" s="37"/>
      <c r="J19" s="37"/>
      <c r="K19" s="38"/>
      <c r="L19" s="38"/>
      <c r="M19" s="38"/>
      <c r="N19" s="38"/>
    </row>
    <row r="20" spans="1:14" ht="22.5" hidden="1" customHeight="1" x14ac:dyDescent="0.2">
      <c r="A20" s="10" t="s">
        <v>69</v>
      </c>
      <c r="B20" s="11" t="s">
        <v>5</v>
      </c>
      <c r="C20" s="39">
        <v>562500</v>
      </c>
      <c r="D20" s="12"/>
      <c r="E20" s="39">
        <f t="shared" si="1"/>
        <v>0</v>
      </c>
      <c r="H20" s="36"/>
      <c r="I20" s="37"/>
      <c r="J20" s="37"/>
      <c r="K20" s="38"/>
      <c r="L20" s="38"/>
      <c r="M20" s="38"/>
      <c r="N20" s="38"/>
    </row>
    <row r="21" spans="1:14" ht="22.5" customHeight="1" x14ac:dyDescent="0.2">
      <c r="A21" s="9" t="s">
        <v>8</v>
      </c>
      <c r="B21" s="7"/>
      <c r="C21" s="40"/>
      <c r="D21" s="12"/>
      <c r="E21" s="39"/>
    </row>
    <row r="22" spans="1:14" ht="22.5" customHeight="1" x14ac:dyDescent="0.15">
      <c r="A22" s="10" t="s">
        <v>62</v>
      </c>
      <c r="B22" s="11" t="s">
        <v>5</v>
      </c>
      <c r="C22" s="39">
        <v>750000</v>
      </c>
      <c r="D22" s="12">
        <v>4</v>
      </c>
      <c r="E22" s="39">
        <f t="shared" si="1"/>
        <v>3000000</v>
      </c>
    </row>
    <row r="23" spans="1:14" ht="22.5" customHeight="1" x14ac:dyDescent="0.15">
      <c r="A23" s="10" t="s">
        <v>63</v>
      </c>
      <c r="B23" s="11" t="s">
        <v>5</v>
      </c>
      <c r="C23" s="39">
        <v>950000</v>
      </c>
      <c r="D23" s="12">
        <v>1</v>
      </c>
      <c r="E23" s="39">
        <f t="shared" si="1"/>
        <v>950000</v>
      </c>
    </row>
    <row r="24" spans="1:14" ht="22.5" customHeight="1" x14ac:dyDescent="0.15">
      <c r="A24" s="10" t="s">
        <v>64</v>
      </c>
      <c r="B24" s="11" t="s">
        <v>5</v>
      </c>
      <c r="C24" s="39">
        <v>300000</v>
      </c>
      <c r="D24" s="12"/>
      <c r="E24" s="39">
        <f t="shared" si="1"/>
        <v>0</v>
      </c>
    </row>
    <row r="25" spans="1:14" ht="22.5" customHeight="1" x14ac:dyDescent="0.2">
      <c r="A25" s="9" t="s">
        <v>9</v>
      </c>
      <c r="B25" s="7"/>
      <c r="C25" s="40"/>
      <c r="D25" s="12"/>
      <c r="E25" s="39">
        <f t="shared" si="1"/>
        <v>0</v>
      </c>
    </row>
    <row r="26" spans="1:14" ht="22.5" customHeight="1" x14ac:dyDescent="0.15">
      <c r="A26" s="10" t="s">
        <v>56</v>
      </c>
      <c r="B26" s="11" t="s">
        <v>5</v>
      </c>
      <c r="C26" s="39">
        <v>425000</v>
      </c>
      <c r="D26" s="12"/>
      <c r="E26" s="39">
        <f t="shared" si="1"/>
        <v>0</v>
      </c>
    </row>
    <row r="27" spans="1:14" ht="22.5" customHeight="1" x14ac:dyDescent="0.15">
      <c r="A27" s="10" t="s">
        <v>10</v>
      </c>
      <c r="B27" s="11" t="s">
        <v>5</v>
      </c>
      <c r="C27" s="39">
        <v>260000</v>
      </c>
      <c r="D27" s="12">
        <v>4</v>
      </c>
      <c r="E27" s="39">
        <f t="shared" si="1"/>
        <v>1040000</v>
      </c>
    </row>
    <row r="28" spans="1:14" ht="22.5" customHeight="1" x14ac:dyDescent="0.15">
      <c r="A28" s="10" t="s">
        <v>11</v>
      </c>
      <c r="B28" s="11" t="s">
        <v>5</v>
      </c>
      <c r="C28" s="39">
        <v>300000</v>
      </c>
      <c r="D28" s="12"/>
      <c r="E28" s="39">
        <f t="shared" si="1"/>
        <v>0</v>
      </c>
    </row>
    <row r="29" spans="1:14" ht="22.5" customHeight="1" x14ac:dyDescent="0.15">
      <c r="A29" s="13" t="s">
        <v>12</v>
      </c>
      <c r="B29" s="11" t="s">
        <v>5</v>
      </c>
      <c r="C29" s="39">
        <v>316000</v>
      </c>
      <c r="D29" s="12"/>
      <c r="E29" s="39">
        <f t="shared" si="1"/>
        <v>0</v>
      </c>
    </row>
    <row r="30" spans="1:14" ht="22.5" customHeight="1" x14ac:dyDescent="0.15">
      <c r="A30" s="13" t="s">
        <v>13</v>
      </c>
      <c r="B30" s="11" t="s">
        <v>5</v>
      </c>
      <c r="C30" s="39">
        <v>380000</v>
      </c>
      <c r="D30" s="12"/>
      <c r="E30" s="39">
        <f t="shared" si="1"/>
        <v>0</v>
      </c>
    </row>
    <row r="31" spans="1:14" ht="22.5" customHeight="1" x14ac:dyDescent="0.15">
      <c r="A31" s="13" t="s">
        <v>14</v>
      </c>
      <c r="B31" s="11" t="s">
        <v>5</v>
      </c>
      <c r="C31" s="39">
        <v>440000</v>
      </c>
      <c r="D31" s="12">
        <v>1</v>
      </c>
      <c r="E31" s="39">
        <f t="shared" si="1"/>
        <v>440000</v>
      </c>
    </row>
    <row r="32" spans="1:14" ht="22.5" customHeight="1" x14ac:dyDescent="0.2">
      <c r="A32" s="6" t="s">
        <v>15</v>
      </c>
      <c r="B32" s="7"/>
      <c r="C32" s="40"/>
      <c r="D32" s="12"/>
      <c r="E32" s="39">
        <f t="shared" si="1"/>
        <v>0</v>
      </c>
    </row>
    <row r="33" spans="1:5" ht="22.5" customHeight="1" x14ac:dyDescent="0.2">
      <c r="A33" s="9" t="s">
        <v>16</v>
      </c>
      <c r="B33" s="7"/>
      <c r="C33" s="40"/>
      <c r="D33" s="12"/>
      <c r="E33" s="39">
        <f t="shared" si="1"/>
        <v>0</v>
      </c>
    </row>
    <row r="34" spans="1:5" ht="22.5" customHeight="1" x14ac:dyDescent="0.15">
      <c r="A34" s="10" t="s">
        <v>60</v>
      </c>
      <c r="B34" s="11" t="s">
        <v>17</v>
      </c>
      <c r="C34" s="39">
        <v>75000</v>
      </c>
      <c r="D34" s="12">
        <f>$D$2</f>
        <v>11</v>
      </c>
      <c r="E34" s="39">
        <f t="shared" si="1"/>
        <v>825000</v>
      </c>
    </row>
    <row r="35" spans="1:5" ht="22.5" customHeight="1" x14ac:dyDescent="0.15">
      <c r="A35" s="13" t="s">
        <v>18</v>
      </c>
      <c r="B35" s="11" t="s">
        <v>17</v>
      </c>
      <c r="C35" s="39">
        <v>55000</v>
      </c>
      <c r="D35" s="12"/>
      <c r="E35" s="39">
        <f t="shared" si="1"/>
        <v>0</v>
      </c>
    </row>
    <row r="36" spans="1:5" ht="22.5" customHeight="1" x14ac:dyDescent="0.15">
      <c r="A36" s="10" t="s">
        <v>19</v>
      </c>
      <c r="B36" s="11" t="s">
        <v>17</v>
      </c>
      <c r="C36" s="39">
        <v>25000</v>
      </c>
      <c r="D36" s="12">
        <f>$D$2</f>
        <v>11</v>
      </c>
      <c r="E36" s="39">
        <f t="shared" si="1"/>
        <v>275000</v>
      </c>
    </row>
    <row r="37" spans="1:5" ht="22.5" customHeight="1" x14ac:dyDescent="0.15">
      <c r="A37" s="10" t="s">
        <v>76</v>
      </c>
      <c r="B37" s="11" t="s">
        <v>5</v>
      </c>
      <c r="C37" s="39">
        <v>250000</v>
      </c>
      <c r="D37" s="12">
        <v>1</v>
      </c>
      <c r="E37" s="39">
        <f t="shared" si="1"/>
        <v>250000</v>
      </c>
    </row>
    <row r="38" spans="1:5" ht="22.5" customHeight="1" x14ac:dyDescent="0.15">
      <c r="A38" s="13" t="s">
        <v>95</v>
      </c>
      <c r="B38" s="11" t="s">
        <v>17</v>
      </c>
      <c r="C38" s="39">
        <v>65000</v>
      </c>
      <c r="D38" s="12"/>
      <c r="E38" s="39">
        <f t="shared" si="1"/>
        <v>0</v>
      </c>
    </row>
    <row r="39" spans="1:5" ht="22.5" customHeight="1" x14ac:dyDescent="0.15">
      <c r="A39" s="13" t="s">
        <v>96</v>
      </c>
      <c r="B39" s="11" t="s">
        <v>17</v>
      </c>
      <c r="C39" s="39">
        <v>65000</v>
      </c>
      <c r="D39" s="12"/>
      <c r="E39" s="39">
        <f t="shared" si="1"/>
        <v>0</v>
      </c>
    </row>
    <row r="40" spans="1:5" ht="22.5" customHeight="1" x14ac:dyDescent="0.15">
      <c r="A40" s="10" t="s">
        <v>57</v>
      </c>
      <c r="B40" s="11" t="s">
        <v>17</v>
      </c>
      <c r="C40" s="39">
        <v>60000</v>
      </c>
      <c r="D40" s="12">
        <f>D2</f>
        <v>11</v>
      </c>
      <c r="E40" s="39">
        <f t="shared" si="1"/>
        <v>660000</v>
      </c>
    </row>
    <row r="41" spans="1:5" ht="22.5" customHeight="1" x14ac:dyDescent="0.15">
      <c r="A41" s="10" t="s">
        <v>58</v>
      </c>
      <c r="B41" s="11" t="s">
        <v>17</v>
      </c>
      <c r="C41" s="39">
        <v>60000</v>
      </c>
      <c r="D41" s="12"/>
      <c r="E41" s="39">
        <f t="shared" si="1"/>
        <v>0</v>
      </c>
    </row>
    <row r="42" spans="1:5" ht="22.5" customHeight="1" x14ac:dyDescent="0.15">
      <c r="A42" s="13" t="s">
        <v>20</v>
      </c>
      <c r="B42" s="11" t="s">
        <v>5</v>
      </c>
      <c r="C42" s="39">
        <v>35000</v>
      </c>
      <c r="D42" s="12"/>
      <c r="E42" s="39">
        <f t="shared" si="1"/>
        <v>0</v>
      </c>
    </row>
    <row r="43" spans="1:5" ht="22.5" customHeight="1" x14ac:dyDescent="0.2">
      <c r="A43" s="9" t="s">
        <v>21</v>
      </c>
      <c r="B43" s="7"/>
      <c r="C43" s="41"/>
      <c r="D43" s="12"/>
      <c r="E43" s="39"/>
    </row>
    <row r="44" spans="1:5" ht="22.5" customHeight="1" x14ac:dyDescent="0.15">
      <c r="A44" s="10" t="s">
        <v>59</v>
      </c>
      <c r="B44" s="11" t="s">
        <v>17</v>
      </c>
      <c r="C44" s="39">
        <v>160000</v>
      </c>
      <c r="D44" s="12">
        <f>D2</f>
        <v>11</v>
      </c>
      <c r="E44" s="39">
        <f t="shared" si="1"/>
        <v>1760000</v>
      </c>
    </row>
    <row r="45" spans="1:5" ht="22.5" customHeight="1" x14ac:dyDescent="0.15">
      <c r="A45" s="13" t="s">
        <v>22</v>
      </c>
      <c r="B45" s="11" t="s">
        <v>17</v>
      </c>
      <c r="C45" s="39">
        <v>500000</v>
      </c>
      <c r="D45" s="12">
        <f>ROUNDUP(D2/4,0)</f>
        <v>3</v>
      </c>
      <c r="E45" s="39">
        <f t="shared" si="1"/>
        <v>1500000</v>
      </c>
    </row>
    <row r="46" spans="1:5" ht="22.5" customHeight="1" x14ac:dyDescent="0.2">
      <c r="A46" s="9" t="s">
        <v>23</v>
      </c>
      <c r="B46" s="7"/>
      <c r="C46" s="41"/>
      <c r="D46" s="12"/>
      <c r="E46" s="39">
        <f t="shared" si="1"/>
        <v>0</v>
      </c>
    </row>
    <row r="47" spans="1:5" ht="22.5" customHeight="1" x14ac:dyDescent="0.15">
      <c r="A47" s="13" t="s">
        <v>24</v>
      </c>
      <c r="B47" s="11" t="s">
        <v>17</v>
      </c>
      <c r="C47" s="39">
        <v>150000</v>
      </c>
      <c r="D47" s="12">
        <f>D2</f>
        <v>11</v>
      </c>
      <c r="E47" s="39">
        <f t="shared" si="1"/>
        <v>1650000</v>
      </c>
    </row>
    <row r="48" spans="1:5" ht="22.5" customHeight="1" x14ac:dyDescent="0.15">
      <c r="A48" s="10" t="s">
        <v>75</v>
      </c>
      <c r="B48" s="11" t="s">
        <v>5</v>
      </c>
      <c r="C48" s="39">
        <v>200000</v>
      </c>
      <c r="D48" s="12">
        <v>1</v>
      </c>
      <c r="E48" s="39">
        <f t="shared" si="1"/>
        <v>200000</v>
      </c>
    </row>
    <row r="49" spans="1:5" ht="22.5" customHeight="1" x14ac:dyDescent="0.15">
      <c r="A49" s="13" t="s">
        <v>25</v>
      </c>
      <c r="B49" s="11" t="s">
        <v>17</v>
      </c>
      <c r="C49" s="39">
        <v>50000</v>
      </c>
      <c r="D49" s="12">
        <f>D2</f>
        <v>11</v>
      </c>
      <c r="E49" s="39">
        <f t="shared" si="1"/>
        <v>550000</v>
      </c>
    </row>
    <row r="50" spans="1:5" ht="22.5" customHeight="1" x14ac:dyDescent="0.15">
      <c r="A50" s="13" t="s">
        <v>26</v>
      </c>
      <c r="B50" s="11" t="s">
        <v>17</v>
      </c>
      <c r="C50" s="39">
        <v>40000</v>
      </c>
      <c r="D50" s="12">
        <f>$D$2</f>
        <v>11</v>
      </c>
      <c r="E50" s="39">
        <f t="shared" si="1"/>
        <v>440000</v>
      </c>
    </row>
    <row r="51" spans="1:5" ht="22.5" customHeight="1" x14ac:dyDescent="0.2">
      <c r="A51" s="16" t="s">
        <v>27</v>
      </c>
      <c r="B51" s="7"/>
      <c r="C51" s="40"/>
      <c r="D51" s="12"/>
      <c r="E51" s="39"/>
    </row>
    <row r="52" spans="1:5" ht="22.5" customHeight="1" x14ac:dyDescent="0.2">
      <c r="A52" s="9" t="s">
        <v>28</v>
      </c>
      <c r="B52" s="7"/>
      <c r="C52" s="40"/>
      <c r="D52" s="12"/>
      <c r="E52" s="39"/>
    </row>
    <row r="53" spans="1:5" ht="22.5" customHeight="1" x14ac:dyDescent="0.15">
      <c r="A53" s="13" t="s">
        <v>29</v>
      </c>
      <c r="B53" s="11" t="s">
        <v>30</v>
      </c>
      <c r="C53" s="39">
        <v>450000</v>
      </c>
      <c r="D53" s="12">
        <f>IF($D$2=1,$C$2, IF($D$2=2,$C$2,0))</f>
        <v>0</v>
      </c>
      <c r="E53" s="39">
        <f t="shared" si="1"/>
        <v>0</v>
      </c>
    </row>
    <row r="54" spans="1:5" ht="22.5" customHeight="1" x14ac:dyDescent="0.15">
      <c r="A54" s="13" t="s">
        <v>31</v>
      </c>
      <c r="B54" s="11" t="s">
        <v>30</v>
      </c>
      <c r="C54" s="39">
        <v>550000</v>
      </c>
      <c r="D54" s="12">
        <f>IF($D$2=3,$C$2, 0)</f>
        <v>0</v>
      </c>
      <c r="E54" s="39">
        <f t="shared" si="1"/>
        <v>0</v>
      </c>
    </row>
    <row r="55" spans="1:5" ht="22.5" customHeight="1" x14ac:dyDescent="0.15">
      <c r="A55" s="10" t="s">
        <v>32</v>
      </c>
      <c r="B55" s="11" t="s">
        <v>30</v>
      </c>
      <c r="C55" s="39">
        <v>1100000</v>
      </c>
      <c r="D55" s="12">
        <f>IF((($D$2&gt;=4)*($D$2&lt;=11))=1,$C$2,0)</f>
        <v>4</v>
      </c>
      <c r="E55" s="39">
        <f t="shared" si="1"/>
        <v>4400000</v>
      </c>
    </row>
    <row r="56" spans="1:5" ht="22.5" customHeight="1" x14ac:dyDescent="0.15">
      <c r="A56" s="13" t="s">
        <v>33</v>
      </c>
      <c r="B56" s="11" t="s">
        <v>30</v>
      </c>
      <c r="C56" s="39">
        <v>1300000</v>
      </c>
      <c r="D56" s="12"/>
      <c r="E56" s="39">
        <f t="shared" si="1"/>
        <v>0</v>
      </c>
    </row>
    <row r="57" spans="1:5" ht="22.5" customHeight="1" x14ac:dyDescent="0.15">
      <c r="A57" s="10" t="s">
        <v>91</v>
      </c>
      <c r="B57" s="11" t="s">
        <v>30</v>
      </c>
      <c r="C57" s="39">
        <v>650000</v>
      </c>
      <c r="D57" s="12">
        <v>4</v>
      </c>
      <c r="E57" s="39">
        <f t="shared" si="1"/>
        <v>2600000</v>
      </c>
    </row>
    <row r="58" spans="1:5" ht="22.5" customHeight="1" x14ac:dyDescent="0.2">
      <c r="A58" s="9" t="s">
        <v>34</v>
      </c>
      <c r="B58" s="7"/>
      <c r="C58" s="40"/>
      <c r="D58" s="12"/>
      <c r="E58" s="39"/>
    </row>
    <row r="59" spans="1:5" ht="22.5" customHeight="1" x14ac:dyDescent="0.15">
      <c r="A59" s="13" t="s">
        <v>35</v>
      </c>
      <c r="B59" s="11" t="s">
        <v>5</v>
      </c>
      <c r="C59" s="39">
        <v>200000</v>
      </c>
      <c r="D59" s="12">
        <f>IF((($D$2&gt;=10)*($D$2&lt;=11))=1,2,1)</f>
        <v>2</v>
      </c>
      <c r="E59" s="39">
        <f t="shared" si="1"/>
        <v>400000</v>
      </c>
    </row>
    <row r="60" spans="1:5" ht="22.5" customHeight="1" x14ac:dyDescent="0.15">
      <c r="A60" s="10" t="s">
        <v>70</v>
      </c>
      <c r="B60" s="11" t="s">
        <v>5</v>
      </c>
      <c r="C60" s="39">
        <v>300000</v>
      </c>
      <c r="D60" s="12"/>
      <c r="E60" s="39">
        <f t="shared" si="1"/>
        <v>0</v>
      </c>
    </row>
    <row r="61" spans="1:5" ht="22.5" customHeight="1" x14ac:dyDescent="0.2">
      <c r="A61" s="9" t="s">
        <v>36</v>
      </c>
      <c r="B61" s="7"/>
      <c r="C61" s="40"/>
      <c r="D61" s="12"/>
      <c r="E61" s="39">
        <f t="shared" si="1"/>
        <v>0</v>
      </c>
    </row>
    <row r="62" spans="1:5" ht="22.5" customHeight="1" x14ac:dyDescent="0.15">
      <c r="A62" s="13" t="s">
        <v>37</v>
      </c>
      <c r="B62" s="11" t="s">
        <v>38</v>
      </c>
      <c r="C62" s="39">
        <v>200000</v>
      </c>
      <c r="D62" s="12"/>
      <c r="E62" s="39">
        <f t="shared" si="1"/>
        <v>0</v>
      </c>
    </row>
    <row r="63" spans="1:5" ht="22.5" customHeight="1" x14ac:dyDescent="0.2">
      <c r="A63" s="15" t="s">
        <v>74</v>
      </c>
      <c r="B63" s="7"/>
      <c r="C63" s="40"/>
      <c r="D63" s="12"/>
      <c r="E63" s="39">
        <f t="shared" si="1"/>
        <v>0</v>
      </c>
    </row>
    <row r="64" spans="1:5" ht="22.5" customHeight="1" x14ac:dyDescent="0.15">
      <c r="A64" s="10" t="s">
        <v>92</v>
      </c>
      <c r="B64" s="11" t="s">
        <v>38</v>
      </c>
      <c r="C64" s="39">
        <v>700000</v>
      </c>
      <c r="D64" s="12">
        <f>IF((($D$2&gt;=1)*($D$2&lt;=3))=1,1,0)</f>
        <v>0</v>
      </c>
      <c r="E64" s="39">
        <f t="shared" si="1"/>
        <v>0</v>
      </c>
    </row>
    <row r="65" spans="1:5" ht="22.5" customHeight="1" x14ac:dyDescent="0.15">
      <c r="A65" s="10" t="s">
        <v>93</v>
      </c>
      <c r="B65" s="11" t="s">
        <v>38</v>
      </c>
      <c r="C65" s="39">
        <v>1100000</v>
      </c>
      <c r="D65" s="12">
        <f>IF((($D$2&gt;=4)*($D$2&lt;=11))=1,1,0)</f>
        <v>1</v>
      </c>
      <c r="E65" s="39">
        <f t="shared" si="1"/>
        <v>1100000</v>
      </c>
    </row>
    <row r="66" spans="1:5" ht="22.5" customHeight="1" x14ac:dyDescent="0.2">
      <c r="A66" s="16" t="s">
        <v>39</v>
      </c>
      <c r="B66" s="7"/>
      <c r="C66" s="40"/>
      <c r="D66" s="12"/>
      <c r="E66" s="39">
        <f t="shared" si="1"/>
        <v>0</v>
      </c>
    </row>
    <row r="67" spans="1:5" ht="22.5" customHeight="1" x14ac:dyDescent="0.2">
      <c r="A67" s="9" t="s">
        <v>40</v>
      </c>
      <c r="B67" s="7"/>
      <c r="C67" s="40"/>
      <c r="D67" s="12"/>
      <c r="E67" s="39">
        <f t="shared" si="1"/>
        <v>0</v>
      </c>
    </row>
    <row r="68" spans="1:5" ht="22.5" customHeight="1" x14ac:dyDescent="0.15">
      <c r="A68" s="13" t="s">
        <v>41</v>
      </c>
      <c r="B68" s="11" t="s">
        <v>30</v>
      </c>
      <c r="C68" s="39">
        <v>250000</v>
      </c>
      <c r="D68" s="12">
        <f>IF((($D$2&gt;=1)*($D$2&lt;=3))=1,$C$2,0)</f>
        <v>0</v>
      </c>
      <c r="E68" s="39">
        <f t="shared" si="1"/>
        <v>0</v>
      </c>
    </row>
    <row r="69" spans="1:5" ht="22.5" customHeight="1" x14ac:dyDescent="0.15">
      <c r="A69" s="10" t="s">
        <v>71</v>
      </c>
      <c r="B69" s="11" t="s">
        <v>30</v>
      </c>
      <c r="C69" s="39">
        <v>250000</v>
      </c>
      <c r="D69" s="12">
        <f>IF((($D$2&gt;=4)*($D$2&lt;=11))=1,$C$2,0)</f>
        <v>4</v>
      </c>
      <c r="E69" s="39">
        <f t="shared" si="1"/>
        <v>1000000</v>
      </c>
    </row>
    <row r="70" spans="1:5" ht="22.5" customHeight="1" x14ac:dyDescent="0.15">
      <c r="A70" s="10" t="s">
        <v>72</v>
      </c>
      <c r="B70" s="11" t="s">
        <v>30</v>
      </c>
      <c r="C70" s="39">
        <v>200000</v>
      </c>
      <c r="D70" s="12"/>
      <c r="E70" s="39">
        <f t="shared" si="1"/>
        <v>0</v>
      </c>
    </row>
    <row r="71" spans="1:5" ht="22.5" customHeight="1" x14ac:dyDescent="0.2">
      <c r="A71" s="16" t="s">
        <v>42</v>
      </c>
      <c r="B71" s="7"/>
      <c r="C71" s="40"/>
      <c r="D71" s="12"/>
      <c r="E71" s="39">
        <f t="shared" si="1"/>
        <v>0</v>
      </c>
    </row>
    <row r="72" spans="1:5" ht="22.5" customHeight="1" x14ac:dyDescent="0.2">
      <c r="A72" s="9" t="s">
        <v>43</v>
      </c>
      <c r="B72" s="7"/>
      <c r="C72" s="40"/>
      <c r="D72" s="12"/>
      <c r="E72" s="39">
        <f t="shared" si="1"/>
        <v>0</v>
      </c>
    </row>
    <row r="73" spans="1:5" ht="22.5" customHeight="1" x14ac:dyDescent="0.15">
      <c r="A73" s="13" t="s">
        <v>44</v>
      </c>
      <c r="B73" s="11" t="s">
        <v>83</v>
      </c>
      <c r="C73" s="39">
        <v>50000</v>
      </c>
      <c r="D73" s="12">
        <f>ROUNDUP(D2*C2*$C$2/24,0)</f>
        <v>8</v>
      </c>
      <c r="E73" s="39">
        <f t="shared" si="1"/>
        <v>400000</v>
      </c>
    </row>
    <row r="74" spans="1:5" ht="22.5" customHeight="1" x14ac:dyDescent="0.15">
      <c r="A74" s="13" t="s">
        <v>46</v>
      </c>
      <c r="B74" s="11" t="s">
        <v>45</v>
      </c>
      <c r="C74" s="39">
        <v>100000</v>
      </c>
      <c r="D74" s="12">
        <v>1</v>
      </c>
      <c r="E74" s="39">
        <f t="shared" si="1"/>
        <v>100000</v>
      </c>
    </row>
    <row r="75" spans="1:5" ht="22.5" customHeight="1" x14ac:dyDescent="0.15">
      <c r="A75" s="13" t="s">
        <v>47</v>
      </c>
      <c r="B75" s="11" t="s">
        <v>17</v>
      </c>
      <c r="C75" s="39">
        <v>60000</v>
      </c>
      <c r="D75" s="12">
        <f>D2</f>
        <v>11</v>
      </c>
      <c r="E75" s="39">
        <f t="shared" ref="E75:E79" si="2">C75*D75</f>
        <v>660000</v>
      </c>
    </row>
    <row r="76" spans="1:5" ht="22.5" customHeight="1" x14ac:dyDescent="0.2">
      <c r="A76" s="9" t="s">
        <v>48</v>
      </c>
      <c r="B76" s="7"/>
      <c r="C76" s="14"/>
      <c r="D76" s="12"/>
      <c r="E76" s="39">
        <f t="shared" si="2"/>
        <v>0</v>
      </c>
    </row>
    <row r="77" spans="1:5" ht="22.5" customHeight="1" x14ac:dyDescent="0.15">
      <c r="A77" s="13" t="s">
        <v>49</v>
      </c>
      <c r="B77" s="11" t="s">
        <v>38</v>
      </c>
      <c r="C77" s="12">
        <v>2000000</v>
      </c>
      <c r="D77" s="12"/>
      <c r="E77" s="39">
        <f t="shared" si="2"/>
        <v>0</v>
      </c>
    </row>
    <row r="78" spans="1:5" ht="22.5" customHeight="1" x14ac:dyDescent="0.2">
      <c r="A78" s="9" t="s">
        <v>50</v>
      </c>
      <c r="B78" s="7"/>
      <c r="C78" s="14"/>
      <c r="D78" s="12"/>
      <c r="E78" s="39">
        <f t="shared" si="2"/>
        <v>0</v>
      </c>
    </row>
    <row r="79" spans="1:5" ht="22.5" customHeight="1" x14ac:dyDescent="0.15">
      <c r="A79" s="13" t="s">
        <v>51</v>
      </c>
      <c r="B79" s="11" t="s">
        <v>17</v>
      </c>
      <c r="C79" s="12">
        <v>16000</v>
      </c>
      <c r="D79" s="12">
        <f>D2</f>
        <v>11</v>
      </c>
      <c r="E79" s="39">
        <f t="shared" si="2"/>
        <v>176000</v>
      </c>
    </row>
    <row r="80" spans="1:5" ht="22.5" customHeight="1" x14ac:dyDescent="0.15">
      <c r="A80" s="10" t="s">
        <v>61</v>
      </c>
      <c r="B80" s="11" t="s">
        <v>5</v>
      </c>
      <c r="C80" s="12">
        <v>100000</v>
      </c>
      <c r="D80" s="12">
        <v>1</v>
      </c>
      <c r="E80" s="39">
        <f>C80*D80</f>
        <v>100000</v>
      </c>
    </row>
    <row r="81" spans="1:5" s="1" customFormat="1" ht="30" customHeight="1" x14ac:dyDescent="0.15">
      <c r="A81" s="18" t="s">
        <v>84</v>
      </c>
      <c r="B81" s="17"/>
      <c r="C81" s="5"/>
      <c r="D81" s="12"/>
      <c r="E81" s="42">
        <f>SUM(E7:E80)</f>
        <v>27226000</v>
      </c>
    </row>
    <row r="82" spans="1:5" ht="36" customHeight="1" x14ac:dyDescent="0.15">
      <c r="A82" s="18" t="s">
        <v>88</v>
      </c>
      <c r="B82" s="8"/>
      <c r="C82" s="8"/>
      <c r="D82" s="8"/>
      <c r="E82" s="42">
        <f>E81/D2</f>
        <v>2475090.9090909092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Calculation</vt:lpstr>
      <vt:lpstr>Summary</vt:lpstr>
      <vt:lpstr>1 Pax</vt:lpstr>
      <vt:lpstr>2 Pax</vt:lpstr>
      <vt:lpstr>3 Pax</vt:lpstr>
      <vt:lpstr>4 Pax</vt:lpstr>
      <vt:lpstr>5 Pax</vt:lpstr>
      <vt:lpstr>6 Pax</vt:lpstr>
      <vt:lpstr>7 Pax</vt:lpstr>
      <vt:lpstr>8 Pax</vt:lpstr>
      <vt:lpstr>9 Pax</vt:lpstr>
      <vt:lpstr>10 Pax</vt:lpstr>
      <vt:lpstr>11 Pax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Java Volcano Rendezvous</cp:lastModifiedBy>
  <cp:revision/>
  <cp:lastPrinted>2024-04-25T14:49:36Z</cp:lastPrinted>
  <dcterms:created xsi:type="dcterms:W3CDTF">2023-11-29T03:56:29Z</dcterms:created>
  <dcterms:modified xsi:type="dcterms:W3CDTF">2025-06-11T14:02:24Z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2023-10-12T00:00:00Z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2023-11-29T00:00:00Z</vt:filetime>
  </property>
  <property fmtid="{D5CDD505-2E9C-101B-9397-08002B2CF9AE}" pid="5" name="Producer">
    <vt:lpwstr>Microsoft® Excel® 2021</vt:lpwstr>
  </property>
</Properties>
</file>