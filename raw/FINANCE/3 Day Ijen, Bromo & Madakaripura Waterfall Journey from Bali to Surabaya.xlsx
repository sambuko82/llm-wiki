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605" documentId="8_{49DE2DE6-D929-4DA0-BB4F-4F6EC9A2F1B6}" xr6:coauthVersionLast="47" xr6:coauthVersionMax="47" xr10:uidLastSave="{84A345FD-678F-D74E-A28A-E3C09E807D3D}"/>
  <bookViews>
    <workbookView xWindow="0" yWindow="500" windowWidth="33600" windowHeight="20500" activeTab="1" xr2:uid="{00000000-000D-0000-FFFF-FFFF00000000}"/>
  </bookViews>
  <sheets>
    <sheet name="Calculation" sheetId="2" r:id="rId1"/>
    <sheet name="Summary" sheetId="3" r:id="rId2"/>
    <sheet name="1 Pax" sheetId="14" r:id="rId3"/>
    <sheet name="2 Pax" sheetId="4" r:id="rId4"/>
    <sheet name="3 Pax" sheetId="5" r:id="rId5"/>
    <sheet name="4 Pax" sheetId="6" r:id="rId6"/>
    <sheet name="5 Pax" sheetId="7" r:id="rId7"/>
    <sheet name="6 Pax" sheetId="8" r:id="rId8"/>
    <sheet name="7 Pax" sheetId="9" r:id="rId9"/>
    <sheet name="8 Pax" sheetId="10" r:id="rId10"/>
    <sheet name="9 Pax" sheetId="11" r:id="rId11"/>
    <sheet name="10 Pax" sheetId="12" r:id="rId12"/>
    <sheet name="11 Pax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5" i="3"/>
  <c r="C5" i="3"/>
  <c r="E29" i="14"/>
  <c r="E70" i="14"/>
  <c r="D69" i="14"/>
  <c r="E69" i="14" s="1"/>
  <c r="E68" i="14"/>
  <c r="E67" i="14"/>
  <c r="E66" i="14"/>
  <c r="D65" i="14"/>
  <c r="E65" i="14" s="1"/>
  <c r="E64" i="14"/>
  <c r="D63" i="14"/>
  <c r="E63" i="14" s="1"/>
  <c r="E62" i="14"/>
  <c r="E61" i="14"/>
  <c r="E60" i="14"/>
  <c r="D59" i="14"/>
  <c r="E59" i="14" s="1"/>
  <c r="D58" i="14"/>
  <c r="E58" i="14" s="1"/>
  <c r="E57" i="14"/>
  <c r="E56" i="14"/>
  <c r="D55" i="14"/>
  <c r="E55" i="14" s="1"/>
  <c r="D54" i="14"/>
  <c r="E54" i="14" s="1"/>
  <c r="E53" i="14"/>
  <c r="E52" i="14"/>
  <c r="E51" i="14"/>
  <c r="E50" i="14"/>
  <c r="D49" i="14"/>
  <c r="E49" i="14" s="1"/>
  <c r="D47" i="14"/>
  <c r="E47" i="14" s="1"/>
  <c r="E46" i="14"/>
  <c r="D45" i="14"/>
  <c r="E45" i="14" s="1"/>
  <c r="D44" i="14"/>
  <c r="E44" i="14" s="1"/>
  <c r="D43" i="14"/>
  <c r="E43" i="14" s="1"/>
  <c r="E40" i="14"/>
  <c r="D39" i="14"/>
  <c r="E39" i="14" s="1"/>
  <c r="D37" i="14"/>
  <c r="E37" i="14" s="1"/>
  <c r="D36" i="14"/>
  <c r="E36" i="14" s="1"/>
  <c r="E34" i="14"/>
  <c r="E33" i="14"/>
  <c r="D32" i="14"/>
  <c r="E32" i="14" s="1"/>
  <c r="E31" i="14"/>
  <c r="E30" i="14"/>
  <c r="E28" i="14"/>
  <c r="D27" i="14"/>
  <c r="E27" i="14" s="1"/>
  <c r="E26" i="14"/>
  <c r="D25" i="14"/>
  <c r="E25" i="14" s="1"/>
  <c r="E22" i="14"/>
  <c r="E21" i="14"/>
  <c r="D20" i="14"/>
  <c r="E20" i="14" s="1"/>
  <c r="E18" i="14"/>
  <c r="E17" i="14"/>
  <c r="E16" i="14"/>
  <c r="E15" i="14"/>
  <c r="E14" i="14"/>
  <c r="E13" i="14"/>
  <c r="E12" i="14"/>
  <c r="E11" i="14"/>
  <c r="E10" i="14"/>
  <c r="E9" i="14"/>
  <c r="E8" i="14"/>
  <c r="D7" i="14"/>
  <c r="E7" i="14" s="1"/>
  <c r="B15" i="3"/>
  <c r="E69" i="13"/>
  <c r="D68" i="13"/>
  <c r="E68" i="13" s="1"/>
  <c r="E67" i="13"/>
  <c r="E66" i="13"/>
  <c r="E65" i="13"/>
  <c r="D64" i="13"/>
  <c r="E64" i="13" s="1"/>
  <c r="E63" i="13"/>
  <c r="D62" i="13"/>
  <c r="E62" i="13" s="1"/>
  <c r="E61" i="13"/>
  <c r="E60" i="13"/>
  <c r="E59" i="13"/>
  <c r="D58" i="13"/>
  <c r="E58" i="13" s="1"/>
  <c r="D57" i="13"/>
  <c r="E57" i="13" s="1"/>
  <c r="E56" i="13"/>
  <c r="E55" i="13"/>
  <c r="D54" i="13"/>
  <c r="E54" i="13" s="1"/>
  <c r="D53" i="13"/>
  <c r="E53" i="13" s="1"/>
  <c r="E52" i="13"/>
  <c r="E51" i="13"/>
  <c r="E50" i="13"/>
  <c r="E49" i="13"/>
  <c r="D48" i="13"/>
  <c r="E48" i="13" s="1"/>
  <c r="D46" i="13"/>
  <c r="E46" i="13" s="1"/>
  <c r="E45" i="13"/>
  <c r="D44" i="13"/>
  <c r="E44" i="13" s="1"/>
  <c r="D43" i="13"/>
  <c r="E43" i="13" s="1"/>
  <c r="D42" i="13"/>
  <c r="E42" i="13" s="1"/>
  <c r="E39" i="13"/>
  <c r="D38" i="13"/>
  <c r="E38" i="13" s="1"/>
  <c r="D36" i="13"/>
  <c r="E36" i="13" s="1"/>
  <c r="D35" i="13"/>
  <c r="E35" i="13" s="1"/>
  <c r="E33" i="13"/>
  <c r="E32" i="13"/>
  <c r="D31" i="13"/>
  <c r="E31" i="13" s="1"/>
  <c r="E30" i="13"/>
  <c r="E29" i="13"/>
  <c r="E28" i="13"/>
  <c r="D27" i="13"/>
  <c r="E27" i="13" s="1"/>
  <c r="E26" i="13"/>
  <c r="D25" i="13"/>
  <c r="E25" i="13" s="1"/>
  <c r="E22" i="13"/>
  <c r="E21" i="13"/>
  <c r="E20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B14" i="3"/>
  <c r="E69" i="12"/>
  <c r="D68" i="12"/>
  <c r="E68" i="12" s="1"/>
  <c r="E67" i="12"/>
  <c r="E66" i="12"/>
  <c r="E65" i="12"/>
  <c r="D64" i="12"/>
  <c r="E64" i="12" s="1"/>
  <c r="E63" i="12"/>
  <c r="D62" i="12"/>
  <c r="E62" i="12" s="1"/>
  <c r="E61" i="12"/>
  <c r="E60" i="12"/>
  <c r="E59" i="12"/>
  <c r="D58" i="12"/>
  <c r="E58" i="12" s="1"/>
  <c r="D57" i="12"/>
  <c r="E57" i="12" s="1"/>
  <c r="E56" i="12"/>
  <c r="E55" i="12"/>
  <c r="D54" i="12"/>
  <c r="E54" i="12" s="1"/>
  <c r="D53" i="12"/>
  <c r="E53" i="12" s="1"/>
  <c r="E52" i="12"/>
  <c r="E51" i="12"/>
  <c r="E50" i="12"/>
  <c r="E49" i="12"/>
  <c r="D48" i="12"/>
  <c r="E48" i="12" s="1"/>
  <c r="D46" i="12"/>
  <c r="E46" i="12" s="1"/>
  <c r="E45" i="12"/>
  <c r="D44" i="12"/>
  <c r="E44" i="12" s="1"/>
  <c r="D43" i="12"/>
  <c r="E43" i="12" s="1"/>
  <c r="D42" i="12"/>
  <c r="E42" i="12" s="1"/>
  <c r="E39" i="12"/>
  <c r="D38" i="12"/>
  <c r="E38" i="12" s="1"/>
  <c r="D36" i="12"/>
  <c r="E36" i="12" s="1"/>
  <c r="D35" i="12"/>
  <c r="E35" i="12" s="1"/>
  <c r="E33" i="12"/>
  <c r="E32" i="12"/>
  <c r="D31" i="12"/>
  <c r="E31" i="12" s="1"/>
  <c r="E30" i="12"/>
  <c r="E29" i="12"/>
  <c r="E28" i="12"/>
  <c r="D27" i="12"/>
  <c r="E27" i="12" s="1"/>
  <c r="E26" i="12"/>
  <c r="D25" i="12"/>
  <c r="E25" i="12" s="1"/>
  <c r="E22" i="12"/>
  <c r="E21" i="12"/>
  <c r="D20" i="12"/>
  <c r="E20" i="12" s="1"/>
  <c r="E18" i="12"/>
  <c r="E17" i="12"/>
  <c r="E16" i="12"/>
  <c r="E15" i="12"/>
  <c r="E14" i="12"/>
  <c r="E13" i="12"/>
  <c r="E12" i="12"/>
  <c r="E11" i="12"/>
  <c r="E10" i="12"/>
  <c r="E9" i="12"/>
  <c r="E8" i="12"/>
  <c r="D7" i="12"/>
  <c r="E7" i="12" s="1"/>
  <c r="B13" i="3"/>
  <c r="E69" i="11"/>
  <c r="D68" i="11"/>
  <c r="E68" i="11" s="1"/>
  <c r="E67" i="11"/>
  <c r="E66" i="11"/>
  <c r="E65" i="11"/>
  <c r="D64" i="11"/>
  <c r="E64" i="11" s="1"/>
  <c r="E63" i="11"/>
  <c r="D62" i="11"/>
  <c r="E62" i="11" s="1"/>
  <c r="E61" i="11"/>
  <c r="E60" i="11"/>
  <c r="E59" i="11"/>
  <c r="D58" i="11"/>
  <c r="E58" i="11" s="1"/>
  <c r="D57" i="11"/>
  <c r="E57" i="11" s="1"/>
  <c r="E56" i="11"/>
  <c r="E55" i="11"/>
  <c r="E54" i="11"/>
  <c r="D54" i="11"/>
  <c r="D53" i="11"/>
  <c r="E53" i="11" s="1"/>
  <c r="E52" i="11"/>
  <c r="E51" i="11"/>
  <c r="E50" i="11"/>
  <c r="E49" i="11"/>
  <c r="D48" i="11"/>
  <c r="E48" i="11" s="1"/>
  <c r="D46" i="11"/>
  <c r="E46" i="11" s="1"/>
  <c r="E45" i="11"/>
  <c r="D44" i="11"/>
  <c r="E44" i="11" s="1"/>
  <c r="D43" i="11"/>
  <c r="E43" i="11" s="1"/>
  <c r="D42" i="11"/>
  <c r="E42" i="11" s="1"/>
  <c r="E39" i="11"/>
  <c r="D38" i="11"/>
  <c r="E38" i="11" s="1"/>
  <c r="D36" i="11"/>
  <c r="E36" i="11" s="1"/>
  <c r="D35" i="11"/>
  <c r="E35" i="11" s="1"/>
  <c r="E33" i="11"/>
  <c r="E32" i="11"/>
  <c r="D31" i="11"/>
  <c r="E31" i="11" s="1"/>
  <c r="E30" i="11"/>
  <c r="E29" i="11"/>
  <c r="E28" i="11"/>
  <c r="D27" i="11"/>
  <c r="E27" i="11" s="1"/>
  <c r="E26" i="11"/>
  <c r="D25" i="11"/>
  <c r="E25" i="11" s="1"/>
  <c r="E22" i="11"/>
  <c r="E21" i="11"/>
  <c r="E20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B12" i="3"/>
  <c r="C12" i="3" s="1"/>
  <c r="E69" i="10"/>
  <c r="D68" i="10"/>
  <c r="E68" i="10" s="1"/>
  <c r="E67" i="10"/>
  <c r="E66" i="10"/>
  <c r="E65" i="10"/>
  <c r="D64" i="10"/>
  <c r="E64" i="10" s="1"/>
  <c r="E63" i="10"/>
  <c r="D62" i="10"/>
  <c r="E62" i="10" s="1"/>
  <c r="E61" i="10"/>
  <c r="E60" i="10"/>
  <c r="E59" i="10"/>
  <c r="D58" i="10"/>
  <c r="E58" i="10" s="1"/>
  <c r="D57" i="10"/>
  <c r="E57" i="10" s="1"/>
  <c r="E56" i="10"/>
  <c r="E55" i="10"/>
  <c r="D54" i="10"/>
  <c r="E54" i="10" s="1"/>
  <c r="D53" i="10"/>
  <c r="E53" i="10" s="1"/>
  <c r="E52" i="10"/>
  <c r="E51" i="10"/>
  <c r="E50" i="10"/>
  <c r="E49" i="10"/>
  <c r="D48" i="10"/>
  <c r="E48" i="10" s="1"/>
  <c r="D46" i="10"/>
  <c r="E46" i="10" s="1"/>
  <c r="E45" i="10"/>
  <c r="D44" i="10"/>
  <c r="E44" i="10" s="1"/>
  <c r="D43" i="10"/>
  <c r="E43" i="10" s="1"/>
  <c r="D42" i="10"/>
  <c r="E42" i="10" s="1"/>
  <c r="E39" i="10"/>
  <c r="D38" i="10"/>
  <c r="E38" i="10" s="1"/>
  <c r="D36" i="10"/>
  <c r="E36" i="10" s="1"/>
  <c r="D35" i="10"/>
  <c r="E35" i="10" s="1"/>
  <c r="E33" i="10"/>
  <c r="E32" i="10"/>
  <c r="D31" i="10"/>
  <c r="E31" i="10" s="1"/>
  <c r="E30" i="10"/>
  <c r="E29" i="10"/>
  <c r="E28" i="10"/>
  <c r="D27" i="10"/>
  <c r="E27" i="10" s="1"/>
  <c r="E26" i="10"/>
  <c r="D25" i="10"/>
  <c r="E25" i="10" s="1"/>
  <c r="E22" i="10"/>
  <c r="E21" i="10"/>
  <c r="D20" i="10"/>
  <c r="E20" i="10" s="1"/>
  <c r="E18" i="10"/>
  <c r="E17" i="10"/>
  <c r="E16" i="10"/>
  <c r="E15" i="10"/>
  <c r="E14" i="10"/>
  <c r="E13" i="10"/>
  <c r="E12" i="10"/>
  <c r="E11" i="10"/>
  <c r="E10" i="10"/>
  <c r="E9" i="10"/>
  <c r="E8" i="10"/>
  <c r="D7" i="10"/>
  <c r="E7" i="10" s="1"/>
  <c r="B11" i="3"/>
  <c r="C11" i="3" s="1"/>
  <c r="E69" i="9"/>
  <c r="D68" i="9"/>
  <c r="E68" i="9" s="1"/>
  <c r="E67" i="9"/>
  <c r="E66" i="9"/>
  <c r="E65" i="9"/>
  <c r="D64" i="9"/>
  <c r="E64" i="9" s="1"/>
  <c r="E63" i="9"/>
  <c r="D62" i="9"/>
  <c r="E62" i="9" s="1"/>
  <c r="E61" i="9"/>
  <c r="E60" i="9"/>
  <c r="E59" i="9"/>
  <c r="D58" i="9"/>
  <c r="E58" i="9" s="1"/>
  <c r="D57" i="9"/>
  <c r="E57" i="9" s="1"/>
  <c r="E56" i="9"/>
  <c r="E55" i="9"/>
  <c r="D54" i="9"/>
  <c r="E54" i="9" s="1"/>
  <c r="D53" i="9"/>
  <c r="E53" i="9" s="1"/>
  <c r="E52" i="9"/>
  <c r="E51" i="9"/>
  <c r="E50" i="9"/>
  <c r="E49" i="9"/>
  <c r="D48" i="9"/>
  <c r="E48" i="9" s="1"/>
  <c r="D46" i="9"/>
  <c r="E46" i="9" s="1"/>
  <c r="E45" i="9"/>
  <c r="D44" i="9"/>
  <c r="E44" i="9" s="1"/>
  <c r="D43" i="9"/>
  <c r="E43" i="9" s="1"/>
  <c r="D42" i="9"/>
  <c r="E42" i="9" s="1"/>
  <c r="E39" i="9"/>
  <c r="D38" i="9"/>
  <c r="E38" i="9" s="1"/>
  <c r="D36" i="9"/>
  <c r="E36" i="9" s="1"/>
  <c r="D35" i="9"/>
  <c r="E35" i="9" s="1"/>
  <c r="E33" i="9"/>
  <c r="E32" i="9"/>
  <c r="D31" i="9"/>
  <c r="E31" i="9" s="1"/>
  <c r="E30" i="9"/>
  <c r="E29" i="9"/>
  <c r="E28" i="9"/>
  <c r="D27" i="9"/>
  <c r="E27" i="9" s="1"/>
  <c r="E26" i="9"/>
  <c r="D25" i="9"/>
  <c r="E25" i="9" s="1"/>
  <c r="E22" i="9"/>
  <c r="E21" i="9"/>
  <c r="E20" i="9"/>
  <c r="E18" i="9"/>
  <c r="E17" i="9"/>
  <c r="E16" i="9"/>
  <c r="E15" i="9"/>
  <c r="E14" i="9"/>
  <c r="E13" i="9"/>
  <c r="E12" i="9"/>
  <c r="E11" i="9"/>
  <c r="E10" i="9"/>
  <c r="E9" i="9"/>
  <c r="E8" i="9"/>
  <c r="E7" i="9"/>
  <c r="B10" i="3"/>
  <c r="C10" i="3" s="1"/>
  <c r="E69" i="8"/>
  <c r="D68" i="8"/>
  <c r="E68" i="8" s="1"/>
  <c r="E67" i="8"/>
  <c r="E66" i="8"/>
  <c r="E65" i="8"/>
  <c r="D64" i="8"/>
  <c r="E64" i="8" s="1"/>
  <c r="E63" i="8"/>
  <c r="D62" i="8"/>
  <c r="E62" i="8" s="1"/>
  <c r="E61" i="8"/>
  <c r="E60" i="8"/>
  <c r="E59" i="8"/>
  <c r="D58" i="8"/>
  <c r="E58" i="8" s="1"/>
  <c r="D57" i="8"/>
  <c r="E57" i="8" s="1"/>
  <c r="E56" i="8"/>
  <c r="E55" i="8"/>
  <c r="D54" i="8"/>
  <c r="E54" i="8" s="1"/>
  <c r="D53" i="8"/>
  <c r="E53" i="8" s="1"/>
  <c r="E52" i="8"/>
  <c r="E51" i="8"/>
  <c r="E50" i="8"/>
  <c r="E49" i="8"/>
  <c r="D48" i="8"/>
  <c r="E48" i="8" s="1"/>
  <c r="D46" i="8"/>
  <c r="E46" i="8" s="1"/>
  <c r="E45" i="8"/>
  <c r="D44" i="8"/>
  <c r="E44" i="8" s="1"/>
  <c r="D43" i="8"/>
  <c r="E43" i="8" s="1"/>
  <c r="D42" i="8"/>
  <c r="E42" i="8" s="1"/>
  <c r="E39" i="8"/>
  <c r="D38" i="8"/>
  <c r="E38" i="8" s="1"/>
  <c r="D36" i="8"/>
  <c r="E36" i="8" s="1"/>
  <c r="D35" i="8"/>
  <c r="E35" i="8" s="1"/>
  <c r="E33" i="8"/>
  <c r="E32" i="8"/>
  <c r="D31" i="8"/>
  <c r="E31" i="8" s="1"/>
  <c r="E30" i="8"/>
  <c r="E29" i="8"/>
  <c r="E28" i="8"/>
  <c r="D27" i="8"/>
  <c r="E27" i="8" s="1"/>
  <c r="E26" i="8"/>
  <c r="D25" i="8"/>
  <c r="E25" i="8" s="1"/>
  <c r="E22" i="8"/>
  <c r="E21" i="8"/>
  <c r="D20" i="8"/>
  <c r="E20" i="8" s="1"/>
  <c r="E18" i="8"/>
  <c r="E17" i="8"/>
  <c r="E16" i="8"/>
  <c r="E15" i="8"/>
  <c r="E14" i="8"/>
  <c r="E13" i="8"/>
  <c r="E12" i="8"/>
  <c r="E11" i="8"/>
  <c r="E10" i="8"/>
  <c r="E9" i="8"/>
  <c r="E8" i="8"/>
  <c r="D7" i="8"/>
  <c r="E7" i="8" s="1"/>
  <c r="B9" i="3"/>
  <c r="C9" i="3" s="1"/>
  <c r="E69" i="7"/>
  <c r="D68" i="7"/>
  <c r="E68" i="7" s="1"/>
  <c r="E67" i="7"/>
  <c r="E66" i="7"/>
  <c r="E65" i="7"/>
  <c r="D64" i="7"/>
  <c r="E64" i="7" s="1"/>
  <c r="E63" i="7"/>
  <c r="D62" i="7"/>
  <c r="E62" i="7" s="1"/>
  <c r="E61" i="7"/>
  <c r="E60" i="7"/>
  <c r="E59" i="7"/>
  <c r="D58" i="7"/>
  <c r="E58" i="7" s="1"/>
  <c r="D57" i="7"/>
  <c r="E57" i="7" s="1"/>
  <c r="E56" i="7"/>
  <c r="E55" i="7"/>
  <c r="D54" i="7"/>
  <c r="E54" i="7" s="1"/>
  <c r="D53" i="7"/>
  <c r="E53" i="7" s="1"/>
  <c r="E52" i="7"/>
  <c r="E51" i="7"/>
  <c r="E50" i="7"/>
  <c r="E49" i="7"/>
  <c r="D48" i="7"/>
  <c r="E48" i="7" s="1"/>
  <c r="D46" i="7"/>
  <c r="E46" i="7" s="1"/>
  <c r="E45" i="7"/>
  <c r="D44" i="7"/>
  <c r="E44" i="7" s="1"/>
  <c r="D43" i="7"/>
  <c r="E43" i="7" s="1"/>
  <c r="D42" i="7"/>
  <c r="E42" i="7" s="1"/>
  <c r="E39" i="7"/>
  <c r="D38" i="7"/>
  <c r="E38" i="7" s="1"/>
  <c r="D36" i="7"/>
  <c r="E36" i="7" s="1"/>
  <c r="D35" i="7"/>
  <c r="E35" i="7" s="1"/>
  <c r="E33" i="7"/>
  <c r="E32" i="7"/>
  <c r="D31" i="7"/>
  <c r="E31" i="7" s="1"/>
  <c r="E30" i="7"/>
  <c r="E29" i="7"/>
  <c r="E28" i="7"/>
  <c r="D27" i="7"/>
  <c r="E27" i="7" s="1"/>
  <c r="E26" i="7"/>
  <c r="D25" i="7"/>
  <c r="E25" i="7" s="1"/>
  <c r="E22" i="7"/>
  <c r="E21" i="7"/>
  <c r="E20" i="7"/>
  <c r="E18" i="7"/>
  <c r="E17" i="7"/>
  <c r="E16" i="7"/>
  <c r="E15" i="7"/>
  <c r="E14" i="7"/>
  <c r="E13" i="7"/>
  <c r="E12" i="7"/>
  <c r="E11" i="7"/>
  <c r="E10" i="7"/>
  <c r="E9" i="7"/>
  <c r="E8" i="7"/>
  <c r="E7" i="7"/>
  <c r="E69" i="6"/>
  <c r="D68" i="6"/>
  <c r="E68" i="6" s="1"/>
  <c r="E67" i="6"/>
  <c r="E66" i="6"/>
  <c r="E65" i="6"/>
  <c r="D64" i="6"/>
  <c r="E64" i="6" s="1"/>
  <c r="E63" i="6"/>
  <c r="D62" i="6"/>
  <c r="E62" i="6" s="1"/>
  <c r="E61" i="6"/>
  <c r="E60" i="6"/>
  <c r="E59" i="6"/>
  <c r="D58" i="6"/>
  <c r="E58" i="6" s="1"/>
  <c r="D57" i="6"/>
  <c r="E57" i="6" s="1"/>
  <c r="E56" i="6"/>
  <c r="E55" i="6"/>
  <c r="D54" i="6"/>
  <c r="E54" i="6" s="1"/>
  <c r="D53" i="6"/>
  <c r="E53" i="6" s="1"/>
  <c r="E52" i="6"/>
  <c r="E51" i="6"/>
  <c r="E50" i="6"/>
  <c r="E49" i="6"/>
  <c r="D48" i="6"/>
  <c r="E48" i="6" s="1"/>
  <c r="D46" i="6"/>
  <c r="E46" i="6" s="1"/>
  <c r="E45" i="6"/>
  <c r="D44" i="6"/>
  <c r="E44" i="6" s="1"/>
  <c r="D43" i="6"/>
  <c r="E43" i="6" s="1"/>
  <c r="D42" i="6"/>
  <c r="E42" i="6" s="1"/>
  <c r="E39" i="6"/>
  <c r="D38" i="6"/>
  <c r="E38" i="6" s="1"/>
  <c r="D36" i="6"/>
  <c r="E36" i="6" s="1"/>
  <c r="D35" i="6"/>
  <c r="E35" i="6" s="1"/>
  <c r="E33" i="6"/>
  <c r="E32" i="6"/>
  <c r="D31" i="6"/>
  <c r="E31" i="6" s="1"/>
  <c r="E30" i="6"/>
  <c r="E29" i="6"/>
  <c r="E28" i="6"/>
  <c r="D27" i="6"/>
  <c r="E27" i="6" s="1"/>
  <c r="E26" i="6"/>
  <c r="D25" i="6"/>
  <c r="E25" i="6" s="1"/>
  <c r="E22" i="6"/>
  <c r="E21" i="6"/>
  <c r="D20" i="6"/>
  <c r="E20" i="6" s="1"/>
  <c r="E18" i="6"/>
  <c r="E17" i="6"/>
  <c r="E16" i="6"/>
  <c r="E15" i="6"/>
  <c r="E14" i="6"/>
  <c r="E13" i="6"/>
  <c r="E12" i="6"/>
  <c r="E11" i="6"/>
  <c r="E10" i="6"/>
  <c r="E9" i="6"/>
  <c r="E8" i="6"/>
  <c r="D7" i="6"/>
  <c r="E7" i="6" s="1"/>
  <c r="B7" i="3"/>
  <c r="C7" i="3" s="1"/>
  <c r="E69" i="5"/>
  <c r="D68" i="5"/>
  <c r="E68" i="5" s="1"/>
  <c r="E67" i="5"/>
  <c r="E66" i="5"/>
  <c r="E65" i="5"/>
  <c r="D64" i="5"/>
  <c r="E64" i="5" s="1"/>
  <c r="E63" i="5"/>
  <c r="E62" i="5"/>
  <c r="D62" i="5"/>
  <c r="E61" i="5"/>
  <c r="E60" i="5"/>
  <c r="E59" i="5"/>
  <c r="D58" i="5"/>
  <c r="E58" i="5" s="1"/>
  <c r="D57" i="5"/>
  <c r="E57" i="5" s="1"/>
  <c r="E56" i="5"/>
  <c r="E55" i="5"/>
  <c r="E54" i="5"/>
  <c r="D54" i="5"/>
  <c r="D53" i="5"/>
  <c r="E53" i="5" s="1"/>
  <c r="E52" i="5"/>
  <c r="E51" i="5"/>
  <c r="E50" i="5"/>
  <c r="E49" i="5"/>
  <c r="E48" i="5"/>
  <c r="D48" i="5"/>
  <c r="D46" i="5"/>
  <c r="E46" i="5" s="1"/>
  <c r="E45" i="5"/>
  <c r="D44" i="5"/>
  <c r="E44" i="5" s="1"/>
  <c r="E43" i="5"/>
  <c r="E42" i="5"/>
  <c r="E39" i="5"/>
  <c r="D38" i="5"/>
  <c r="E38" i="5" s="1"/>
  <c r="D36" i="5"/>
  <c r="E36" i="5" s="1"/>
  <c r="D35" i="5"/>
  <c r="E35" i="5" s="1"/>
  <c r="E33" i="5"/>
  <c r="E32" i="5"/>
  <c r="D31" i="5"/>
  <c r="E31" i="5" s="1"/>
  <c r="E30" i="5"/>
  <c r="E29" i="5"/>
  <c r="E28" i="5"/>
  <c r="D27" i="5"/>
  <c r="E27" i="5" s="1"/>
  <c r="E26" i="5"/>
  <c r="D25" i="5"/>
  <c r="E25" i="5" s="1"/>
  <c r="E22" i="5"/>
  <c r="E21" i="5"/>
  <c r="E20" i="5"/>
  <c r="E18" i="5"/>
  <c r="E17" i="5"/>
  <c r="E16" i="5"/>
  <c r="E15" i="5"/>
  <c r="E14" i="5"/>
  <c r="E13" i="5"/>
  <c r="E12" i="5"/>
  <c r="E11" i="5"/>
  <c r="E10" i="5"/>
  <c r="E9" i="5"/>
  <c r="E8" i="5"/>
  <c r="E7" i="5"/>
  <c r="E8" i="2"/>
  <c r="E68" i="4"/>
  <c r="D67" i="4"/>
  <c r="E67" i="4" s="1"/>
  <c r="E66" i="4"/>
  <c r="E65" i="4"/>
  <c r="E64" i="4"/>
  <c r="D63" i="4"/>
  <c r="E63" i="4" s="1"/>
  <c r="E62" i="4"/>
  <c r="D61" i="4"/>
  <c r="E61" i="4" s="1"/>
  <c r="E60" i="4"/>
  <c r="E59" i="4"/>
  <c r="E58" i="4"/>
  <c r="D57" i="4"/>
  <c r="E57" i="4" s="1"/>
  <c r="D56" i="4"/>
  <c r="E56" i="4" s="1"/>
  <c r="E55" i="4"/>
  <c r="E54" i="4"/>
  <c r="D53" i="4"/>
  <c r="E53" i="4" s="1"/>
  <c r="D52" i="4"/>
  <c r="E52" i="4" s="1"/>
  <c r="E51" i="4"/>
  <c r="E50" i="4"/>
  <c r="E49" i="4"/>
  <c r="E48" i="4"/>
  <c r="D47" i="4"/>
  <c r="E47" i="4" s="1"/>
  <c r="D45" i="4"/>
  <c r="E45" i="4" s="1"/>
  <c r="E44" i="4"/>
  <c r="D43" i="4"/>
  <c r="E43" i="4" s="1"/>
  <c r="D42" i="4"/>
  <c r="E42" i="4" s="1"/>
  <c r="E41" i="4"/>
  <c r="D41" i="4"/>
  <c r="E38" i="4"/>
  <c r="D37" i="4"/>
  <c r="E37" i="4" s="1"/>
  <c r="D35" i="4"/>
  <c r="E35" i="4" s="1"/>
  <c r="D34" i="4"/>
  <c r="E34" i="4" s="1"/>
  <c r="E32" i="4"/>
  <c r="E31" i="4"/>
  <c r="D30" i="4"/>
  <c r="E30" i="4" s="1"/>
  <c r="E29" i="4"/>
  <c r="E28" i="4"/>
  <c r="E27" i="4"/>
  <c r="E26" i="4"/>
  <c r="D26" i="4"/>
  <c r="E25" i="4"/>
  <c r="D24" i="4"/>
  <c r="E24" i="4" s="1"/>
  <c r="E21" i="4"/>
  <c r="E20" i="4"/>
  <c r="D19" i="4"/>
  <c r="E19" i="4" s="1"/>
  <c r="E17" i="4"/>
  <c r="E16" i="4"/>
  <c r="E15" i="4"/>
  <c r="E14" i="4"/>
  <c r="E13" i="4"/>
  <c r="E12" i="4"/>
  <c r="E11" i="4"/>
  <c r="E10" i="4"/>
  <c r="E9" i="4"/>
  <c r="E8" i="4"/>
  <c r="D7" i="4"/>
  <c r="E7" i="4" s="1"/>
  <c r="D46" i="2"/>
  <c r="D31" i="2"/>
  <c r="E29" i="2"/>
  <c r="E9" i="2"/>
  <c r="D7" i="2"/>
  <c r="E7" i="2" s="1"/>
  <c r="D68" i="2"/>
  <c r="E68" i="2" s="1"/>
  <c r="D53" i="2"/>
  <c r="E53" i="2" s="1"/>
  <c r="D54" i="2"/>
  <c r="E54" i="2" s="1"/>
  <c r="D48" i="2"/>
  <c r="E48" i="2" s="1"/>
  <c r="D57" i="2"/>
  <c r="E57" i="2" s="1"/>
  <c r="E46" i="2"/>
  <c r="D44" i="2"/>
  <c r="E44" i="2" s="1"/>
  <c r="D58" i="2"/>
  <c r="E58" i="2" s="1"/>
  <c r="D43" i="2"/>
  <c r="E43" i="2" s="1"/>
  <c r="E6" i="3"/>
  <c r="E7" i="3"/>
  <c r="E8" i="3"/>
  <c r="E9" i="3"/>
  <c r="E10" i="3"/>
  <c r="E11" i="3"/>
  <c r="E12" i="3"/>
  <c r="E13" i="3"/>
  <c r="E14" i="3"/>
  <c r="E15" i="3"/>
  <c r="C13" i="3"/>
  <c r="C14" i="3"/>
  <c r="C15" i="3"/>
  <c r="D64" i="2"/>
  <c r="E64" i="2" s="1"/>
  <c r="D62" i="2"/>
  <c r="E62" i="2" s="1"/>
  <c r="D42" i="2"/>
  <c r="E42" i="2" s="1"/>
  <c r="E69" i="2"/>
  <c r="E10" i="2"/>
  <c r="E11" i="2"/>
  <c r="E12" i="2"/>
  <c r="E13" i="2"/>
  <c r="E14" i="2"/>
  <c r="E15" i="2"/>
  <c r="E16" i="2"/>
  <c r="E17" i="2"/>
  <c r="E18" i="2"/>
  <c r="E21" i="2"/>
  <c r="E22" i="2"/>
  <c r="E26" i="2"/>
  <c r="E28" i="2"/>
  <c r="E31" i="2"/>
  <c r="E32" i="2"/>
  <c r="E33" i="2"/>
  <c r="E39" i="2"/>
  <c r="E45" i="2"/>
  <c r="E49" i="2"/>
  <c r="E50" i="2"/>
  <c r="E51" i="2"/>
  <c r="E52" i="2"/>
  <c r="E55" i="2"/>
  <c r="E56" i="2"/>
  <c r="E59" i="2"/>
  <c r="E60" i="2"/>
  <c r="E61" i="2"/>
  <c r="E63" i="2"/>
  <c r="E65" i="2"/>
  <c r="E66" i="2"/>
  <c r="E67" i="2"/>
  <c r="D38" i="2"/>
  <c r="E38" i="2" s="1"/>
  <c r="D36" i="2"/>
  <c r="E36" i="2" s="1"/>
  <c r="D35" i="2"/>
  <c r="E35" i="2" s="1"/>
  <c r="E30" i="2"/>
  <c r="D27" i="2"/>
  <c r="E27" i="2" s="1"/>
  <c r="D25" i="2"/>
  <c r="E25" i="2" s="1"/>
  <c r="D20" i="2"/>
  <c r="E20" i="2" s="1"/>
  <c r="F5" i="3" l="1"/>
  <c r="G5" i="3" s="1"/>
  <c r="E71" i="14"/>
  <c r="E72" i="14" s="1"/>
  <c r="E70" i="13"/>
  <c r="E71" i="13" s="1"/>
  <c r="E70" i="12"/>
  <c r="E71" i="12" s="1"/>
  <c r="E70" i="11"/>
  <c r="E71" i="11" s="1"/>
  <c r="E70" i="10"/>
  <c r="E71" i="10" s="1"/>
  <c r="E70" i="9"/>
  <c r="E71" i="9" s="1"/>
  <c r="E70" i="8"/>
  <c r="E71" i="8" s="1"/>
  <c r="E70" i="7"/>
  <c r="E71" i="7" s="1"/>
  <c r="F11" i="3"/>
  <c r="G11" i="3" s="1"/>
  <c r="E70" i="6"/>
  <c r="E71" i="6" s="1"/>
  <c r="B8" i="3" s="1"/>
  <c r="C8" i="3" s="1"/>
  <c r="F8" i="3" s="1"/>
  <c r="G8" i="3" s="1"/>
  <c r="E70" i="5"/>
  <c r="E71" i="5" s="1"/>
  <c r="E69" i="4"/>
  <c r="E70" i="4" s="1"/>
  <c r="B6" i="3" s="1"/>
  <c r="C6" i="3" s="1"/>
  <c r="F6" i="3" s="1"/>
  <c r="G6" i="3" s="1"/>
  <c r="F10" i="3"/>
  <c r="G10" i="3" s="1"/>
  <c r="F9" i="3"/>
  <c r="G9" i="3" s="1"/>
  <c r="F7" i="3"/>
  <c r="G7" i="3" s="1"/>
  <c r="F14" i="3"/>
  <c r="G14" i="3" s="1"/>
  <c r="E70" i="2"/>
  <c r="E71" i="2" s="1"/>
  <c r="F12" i="3"/>
  <c r="G12" i="3" s="1"/>
  <c r="F13" i="3"/>
  <c r="G13" i="3" s="1"/>
  <c r="F15" i="3"/>
  <c r="G15" i="3" s="1"/>
</calcChain>
</file>

<file path=xl/sharedStrings.xml><?xml version="1.0" encoding="utf-8"?>
<sst xmlns="http://schemas.openxmlformats.org/spreadsheetml/2006/main" count="1500" uniqueCount="92">
  <si>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</si>
  <si>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</si>
  <si>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</si>
  <si>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</si>
  <si>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</si>
  <si>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</si>
  <si>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b/>
        <u/>
        <sz val="16"/>
        <rFont val="Calibri"/>
        <family val="1"/>
      </rPr>
      <t>A2. Bromo 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</si>
  <si>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</si>
  <si>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</si>
  <si>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</si>
  <si>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</si>
  <si>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</si>
  <si>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</si>
  <si>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</si>
  <si>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</si>
  <si>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</si>
  <si>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</si>
  <si>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</si>
  <si>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</si>
  <si>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</si>
  <si>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</si>
  <si>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</si>
  <si>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</si>
  <si>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</si>
  <si>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</si>
  <si>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</si>
  <si>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</si>
  <si>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</si>
  <si>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</si>
  <si>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</si>
  <si>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</si>
  <si>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</si>
  <si>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</si>
  <si>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</si>
  <si>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</si>
  <si>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</si>
  <si>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</si>
  <si>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</si>
  <si>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</si>
  <si>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</si>
  <si>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</si>
  <si>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</si>
  <si>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Baratha - Superior</t>
  </si>
  <si>
    <t>Baratha - Deluxe</t>
  </si>
  <si>
    <t>Baratha - Family</t>
  </si>
  <si>
    <t>Baratha - Apartement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</si>
  <si>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</si>
  <si>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</si>
  <si>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</si>
  <si>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</si>
  <si>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</si>
  <si>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</si>
  <si>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</si>
  <si>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</si>
  <si>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</si>
  <si>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</si>
  <si>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</si>
  <si>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</si>
  <si>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</si>
  <si>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</si>
  <si>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</si>
  <si>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</si>
  <si>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</si>
  <si>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</si>
  <si>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</si>
  <si>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Madakaripura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</si>
  <si>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</si>
  <si>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</si>
  <si>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</si>
  <si>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</si>
  <si>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</si>
  <si>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</si>
  <si>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</si>
  <si>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</si>
  <si>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</si>
  <si>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</si>
  <si>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</si>
  <si>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</si>
  <si>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Expense / Pax</t>
  </si>
  <si>
    <t>Harga / Pax</t>
  </si>
  <si>
    <t>Total Harga</t>
  </si>
  <si>
    <t>Extra Luggage</t>
  </si>
  <si>
    <t>Transport Bali - Avanza</t>
  </si>
  <si>
    <t>Transport Bali - Elf</t>
  </si>
  <si>
    <t>Tumpak Sewu &amp; Bromo Exploration: 3D2N from Bali</t>
  </si>
  <si>
    <t>Romantic Java Escape: 3D2N Volcano Retreat from Bali</t>
  </si>
  <si>
    <t>Riverside - Lunch</t>
  </si>
  <si>
    <t>Riverside - Dinner</t>
  </si>
  <si>
    <t>Luminor Banyuwangi - Deluxe</t>
  </si>
  <si>
    <t>Luminor Banyuwangi - Extra Bed</t>
  </si>
  <si>
    <t>Naikkan harganya</t>
  </si>
  <si>
    <t>Medical check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</si>
</sst>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1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51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/>
    <xf numFmtId="164" fontId="16" fillId="4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4" fontId="10" fillId="5" borderId="2" xfId="0" applyNumberFormat="1" applyFont="1" applyFill="1" applyBorder="1"/>
    <xf numFmtId="164" fontId="10" fillId="5" borderId="2" xfId="1" applyNumberFormat="1" applyFont="1" applyFill="1" applyBorder="1"/>
    <xf numFmtId="164" fontId="10" fillId="5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  <xf numFmtId="0" fontId="9" fillId="0" borderId="0" xfId="0" applyFont="1" applyAlignment="1">
      <alignment horizontal="left" vertical="top"/>
    </xf>
    <xf numFmtId="41" fontId="9" fillId="0" borderId="0" xfId="2" applyFont="1" applyAlignment="1">
      <alignment horizontal="left" vertical="top"/>
    </xf>
    <xf numFmtId="41" fontId="0" fillId="0" borderId="0" xfId="2" applyFont="1" applyAlignment="1">
      <alignment horizontal="left" vertical="top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71"/>
  <sheetViews>
    <sheetView zoomScale="150" zoomScaleNormal="70" workbookViewId="0">
      <selection activeCell="D8" sqref="D8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2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1</v>
      </c>
      <c r="E7" s="43">
        <f t="shared" ref="E7:E9" si="0">C7*D7</f>
        <v>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ref="E8" si="1">C8*D8</f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ref="E10:E39" si="2">C10*D10</f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2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2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2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2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2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2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2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2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1</v>
      </c>
      <c r="E20" s="43">
        <f t="shared" si="2"/>
        <v>750000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2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2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2</v>
      </c>
      <c r="E25" s="43">
        <f t="shared" si="2"/>
        <v>150000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2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2</v>
      </c>
      <c r="E27" s="43">
        <f t="shared" si="2"/>
        <v>50000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2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2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2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2</v>
      </c>
      <c r="E31" s="43">
        <f t="shared" si="2"/>
        <v>120000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2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2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2</v>
      </c>
      <c r="E35" s="43">
        <f t="shared" si="2"/>
        <v>320000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1</v>
      </c>
      <c r="E36" s="43">
        <f t="shared" si="2"/>
        <v>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2</v>
      </c>
      <c r="E38" s="43">
        <f t="shared" si="2"/>
        <v>180000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2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3</v>
      </c>
      <c r="E42" s="43">
        <f t="shared" ref="E42:E68" si="3">C42*D42</f>
        <v>1350000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3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0</v>
      </c>
      <c r="E44" s="43">
        <f t="shared" si="3"/>
        <v>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3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ref="E46" si="4">C46*D46</f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3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3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3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3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3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1</v>
      </c>
      <c r="E53" s="43">
        <f t="shared" si="3"/>
        <v>700000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0</v>
      </c>
      <c r="E54" s="43">
        <f t="shared" ref="E54" si="5">C54*D54</f>
        <v>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3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3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3</v>
      </c>
      <c r="E57" s="43">
        <f t="shared" si="3"/>
        <v>750000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0</v>
      </c>
      <c r="E58" s="43">
        <f t="shared" si="3"/>
        <v>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3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3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3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1</v>
      </c>
      <c r="E62" s="43">
        <f t="shared" si="3"/>
        <v>50000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3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2</v>
      </c>
      <c r="E64" s="43">
        <f t="shared" si="3"/>
        <v>120000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3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3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3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2</v>
      </c>
      <c r="E68" s="43">
        <f t="shared" si="3"/>
        <v>32000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6322000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3161000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H15"/>
  <sheetViews>
    <sheetView tabSelected="1" zoomScale="145" zoomScaleNormal="145" workbookViewId="0">
      <selection activeCell="D5" sqref="D5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8" customWidth="1"/>
    <col min="8" max="8" width="18" bestFit="1" customWidth="1"/>
  </cols>
  <sheetData>
    <row r="1" spans="1:8" ht="25.5" customHeight="1" x14ac:dyDescent="0.15">
      <c r="A1" s="40" t="s">
        <v>67</v>
      </c>
      <c r="B1" s="41"/>
      <c r="C1" s="41"/>
      <c r="D1" s="41"/>
      <c r="E1" s="40" t="s">
        <v>68</v>
      </c>
      <c r="F1" s="40" t="s">
        <v>69</v>
      </c>
      <c r="G1" s="40"/>
    </row>
    <row r="2" spans="1:8" ht="27.75" customHeight="1" x14ac:dyDescent="0.15">
      <c r="A2" s="42" t="s">
        <v>84</v>
      </c>
      <c r="B2" s="41"/>
      <c r="C2" s="41"/>
      <c r="D2" s="41"/>
      <c r="E2" s="42">
        <v>89</v>
      </c>
      <c r="F2" s="42">
        <v>3</v>
      </c>
      <c r="G2" s="42"/>
    </row>
    <row r="3" spans="1:8" ht="27.75" customHeight="1" x14ac:dyDescent="0.15">
      <c r="A3" s="39"/>
      <c r="B3" s="39"/>
      <c r="C3" s="39"/>
      <c r="D3" s="39"/>
    </row>
    <row r="4" spans="1:8" ht="15" x14ac:dyDescent="0.2">
      <c r="A4" s="19" t="s">
        <v>75</v>
      </c>
      <c r="B4" s="19" t="s">
        <v>78</v>
      </c>
      <c r="C4" s="19" t="s">
        <v>74</v>
      </c>
      <c r="D4" s="19" t="s">
        <v>79</v>
      </c>
      <c r="E4" s="19" t="s">
        <v>80</v>
      </c>
      <c r="F4" s="19" t="s">
        <v>76</v>
      </c>
      <c r="G4" s="19" t="s">
        <v>77</v>
      </c>
      <c r="H4" s="48" t="s">
        <v>90</v>
      </c>
    </row>
    <row r="5" spans="1:8" ht="15" x14ac:dyDescent="0.2">
      <c r="A5" s="20">
        <v>1</v>
      </c>
      <c r="B5" s="21">
        <f>'1 Pax'!E72</f>
        <v>5871000</v>
      </c>
      <c r="C5" s="22">
        <f t="shared" ref="C5" si="0">B5*A5</f>
        <v>5871000</v>
      </c>
      <c r="D5" s="21">
        <v>7500000</v>
      </c>
      <c r="E5" s="21">
        <f t="shared" ref="E5" si="1">D5*A5</f>
        <v>7500000</v>
      </c>
      <c r="F5" s="21">
        <f t="shared" ref="F5" si="2">E5-C5</f>
        <v>1629000</v>
      </c>
      <c r="G5" s="21">
        <f t="shared" ref="G5" si="3">F5/E5*100</f>
        <v>21.72</v>
      </c>
      <c r="H5" s="49">
        <v>4000000</v>
      </c>
    </row>
    <row r="6" spans="1:8" ht="15" x14ac:dyDescent="0.2">
      <c r="A6" s="20">
        <v>2</v>
      </c>
      <c r="B6" s="21">
        <f>'2 Pax'!E70</f>
        <v>3101000</v>
      </c>
      <c r="C6" s="22">
        <f t="shared" ref="C6:C15" si="4">B6*A6</f>
        <v>6202000</v>
      </c>
      <c r="D6" s="21">
        <v>4000000</v>
      </c>
      <c r="E6" s="21">
        <f t="shared" ref="E6:E15" si="5">D6*A6</f>
        <v>8000000</v>
      </c>
      <c r="F6" s="21">
        <f t="shared" ref="F6:F15" si="6">E6-C6</f>
        <v>1798000</v>
      </c>
      <c r="G6" s="21">
        <f t="shared" ref="G6:G15" si="7">F6/E6*100</f>
        <v>22.475000000000001</v>
      </c>
      <c r="H6" s="49">
        <v>4000000</v>
      </c>
    </row>
    <row r="7" spans="1:8" ht="15" x14ac:dyDescent="0.2">
      <c r="A7" s="23">
        <v>3</v>
      </c>
      <c r="B7" s="24">
        <f>'3 Pax'!E71</f>
        <v>2436000</v>
      </c>
      <c r="C7" s="24">
        <f t="shared" si="4"/>
        <v>7308000</v>
      </c>
      <c r="D7" s="25">
        <v>3750000</v>
      </c>
      <c r="E7" s="25">
        <f t="shared" si="5"/>
        <v>11250000</v>
      </c>
      <c r="F7" s="25">
        <f t="shared" si="6"/>
        <v>3942000</v>
      </c>
      <c r="G7" s="25">
        <f t="shared" si="7"/>
        <v>35.04</v>
      </c>
      <c r="H7" s="50">
        <v>3750000</v>
      </c>
    </row>
    <row r="8" spans="1:8" ht="15" x14ac:dyDescent="0.2">
      <c r="A8" s="23">
        <v>4</v>
      </c>
      <c r="B8" s="24">
        <f>'4 Pax'!E71</f>
        <v>2648500</v>
      </c>
      <c r="C8" s="24">
        <f t="shared" si="4"/>
        <v>10594000</v>
      </c>
      <c r="D8" s="25">
        <v>3500000</v>
      </c>
      <c r="E8" s="25">
        <f t="shared" si="5"/>
        <v>14000000</v>
      </c>
      <c r="F8" s="25">
        <f t="shared" si="6"/>
        <v>3406000</v>
      </c>
      <c r="G8" s="25">
        <f t="shared" si="7"/>
        <v>24.328571428571429</v>
      </c>
      <c r="H8" s="50">
        <v>3500000</v>
      </c>
    </row>
    <row r="9" spans="1:8" ht="15" x14ac:dyDescent="0.2">
      <c r="A9" s="29">
        <v>5</v>
      </c>
      <c r="B9" s="30">
        <f>'5 Pax'!E71</f>
        <v>2476000</v>
      </c>
      <c r="C9" s="30">
        <f t="shared" si="4"/>
        <v>12380000</v>
      </c>
      <c r="D9" s="31">
        <v>3500000</v>
      </c>
      <c r="E9" s="31">
        <f t="shared" si="5"/>
        <v>17500000</v>
      </c>
      <c r="F9" s="31">
        <f t="shared" si="6"/>
        <v>5120000</v>
      </c>
      <c r="G9" s="31">
        <f t="shared" si="7"/>
        <v>29.25714285714286</v>
      </c>
      <c r="H9" s="50">
        <v>3500000</v>
      </c>
    </row>
    <row r="10" spans="1:8" ht="15" x14ac:dyDescent="0.2">
      <c r="A10" s="29">
        <v>6</v>
      </c>
      <c r="B10" s="30">
        <f>'6 Pax'!E71</f>
        <v>2286000</v>
      </c>
      <c r="C10" s="30">
        <f t="shared" si="4"/>
        <v>13716000</v>
      </c>
      <c r="D10" s="31">
        <v>3300000</v>
      </c>
      <c r="E10" s="31">
        <f t="shared" si="5"/>
        <v>19800000</v>
      </c>
      <c r="F10" s="31">
        <f t="shared" si="6"/>
        <v>6084000</v>
      </c>
      <c r="G10" s="31">
        <f t="shared" si="7"/>
        <v>30.727272727272727</v>
      </c>
      <c r="H10" s="50">
        <v>3300000</v>
      </c>
    </row>
    <row r="11" spans="1:8" ht="15" x14ac:dyDescent="0.2">
      <c r="A11" s="29">
        <v>7</v>
      </c>
      <c r="B11" s="30">
        <f>'7 Pax'!E71</f>
        <v>2093142.857142857</v>
      </c>
      <c r="C11" s="30">
        <f t="shared" si="4"/>
        <v>14652000</v>
      </c>
      <c r="D11" s="31">
        <v>3300000</v>
      </c>
      <c r="E11" s="31">
        <f t="shared" si="5"/>
        <v>23100000</v>
      </c>
      <c r="F11" s="31">
        <f t="shared" si="6"/>
        <v>8448000</v>
      </c>
      <c r="G11" s="31">
        <f t="shared" si="7"/>
        <v>36.571428571428569</v>
      </c>
      <c r="H11" s="50">
        <v>3300000</v>
      </c>
    </row>
    <row r="12" spans="1:8" ht="15" x14ac:dyDescent="0.2">
      <c r="A12" s="32">
        <v>8</v>
      </c>
      <c r="B12" s="33">
        <f>'8 Pax'!E71</f>
        <v>1992250</v>
      </c>
      <c r="C12" s="34">
        <f t="shared" si="4"/>
        <v>15938000</v>
      </c>
      <c r="D12" s="35">
        <v>3000000</v>
      </c>
      <c r="E12" s="35">
        <f t="shared" si="5"/>
        <v>24000000</v>
      </c>
      <c r="F12" s="35">
        <f t="shared" si="6"/>
        <v>8062000</v>
      </c>
      <c r="G12" s="35">
        <f t="shared" si="7"/>
        <v>33.591666666666661</v>
      </c>
      <c r="H12" s="50">
        <v>3000000</v>
      </c>
    </row>
    <row r="13" spans="1:8" ht="15" x14ac:dyDescent="0.2">
      <c r="A13" s="32">
        <v>9</v>
      </c>
      <c r="B13" s="34">
        <f>'9 Pax'!E71</f>
        <v>1936000</v>
      </c>
      <c r="C13" s="34">
        <f t="shared" si="4"/>
        <v>17424000</v>
      </c>
      <c r="D13" s="35">
        <v>3000000</v>
      </c>
      <c r="E13" s="35">
        <f t="shared" si="5"/>
        <v>27000000</v>
      </c>
      <c r="F13" s="35">
        <f t="shared" si="6"/>
        <v>9576000</v>
      </c>
      <c r="G13" s="35">
        <f t="shared" si="7"/>
        <v>35.466666666666669</v>
      </c>
      <c r="H13" s="50">
        <v>3000000</v>
      </c>
    </row>
    <row r="14" spans="1:8" ht="15" x14ac:dyDescent="0.2">
      <c r="A14" s="32">
        <v>10</v>
      </c>
      <c r="B14" s="34">
        <f>'10 Pax'!E71</f>
        <v>2086000</v>
      </c>
      <c r="C14" s="34">
        <f t="shared" si="4"/>
        <v>20860000</v>
      </c>
      <c r="D14" s="35">
        <v>3000000</v>
      </c>
      <c r="E14" s="35">
        <f t="shared" si="5"/>
        <v>30000000</v>
      </c>
      <c r="F14" s="35">
        <f t="shared" si="6"/>
        <v>9140000</v>
      </c>
      <c r="G14" s="35">
        <f t="shared" si="7"/>
        <v>30.466666666666665</v>
      </c>
      <c r="H14" s="50">
        <v>3000000</v>
      </c>
    </row>
    <row r="15" spans="1:8" ht="15" x14ac:dyDescent="0.2">
      <c r="A15" s="26">
        <v>11</v>
      </c>
      <c r="B15" s="27">
        <f>'11 Pax'!E71</f>
        <v>1986000</v>
      </c>
      <c r="C15" s="27">
        <f t="shared" si="4"/>
        <v>21846000</v>
      </c>
      <c r="D15" s="28">
        <v>2800000</v>
      </c>
      <c r="E15" s="28">
        <f t="shared" si="5"/>
        <v>30800000</v>
      </c>
      <c r="F15" s="28">
        <f t="shared" si="6"/>
        <v>8954000</v>
      </c>
      <c r="G15" s="28">
        <f t="shared" si="7"/>
        <v>29.071428571428569</v>
      </c>
      <c r="H15" s="50">
        <v>2800000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32B3-F708-8642-9875-EAD83599EEA8}">
  <sheetPr>
    <pageSetUpPr fitToPage="1"/>
  </sheetPr>
  <dimension ref="A1:N72"/>
  <sheetViews>
    <sheetView topLeftCell="A53" zoomScale="150" zoomScaleNormal="70" workbookViewId="0">
      <selection activeCell="A58" sqref="A58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1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1</v>
      </c>
      <c r="E7" s="43">
        <f t="shared" ref="E7:E40" si="0">C7*D7</f>
        <v>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si="0"/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1</v>
      </c>
      <c r="E20" s="43">
        <f t="shared" si="0"/>
        <v>750000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0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1</v>
      </c>
      <c r="E25" s="43">
        <f t="shared" si="0"/>
        <v>75000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1</v>
      </c>
      <c r="E27" s="43">
        <f t="shared" si="0"/>
        <v>25000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0" t="s">
        <v>91</v>
      </c>
      <c r="B29" s="11" t="s">
        <v>5</v>
      </c>
      <c r="C29" s="43">
        <v>35000</v>
      </c>
      <c r="D29" s="12">
        <v>1</v>
      </c>
      <c r="E29" s="43">
        <f t="shared" ref="E29" si="1">C29*D29</f>
        <v>35000</v>
      </c>
    </row>
    <row r="30" spans="1:14" ht="22.5" customHeight="1" x14ac:dyDescent="0.15">
      <c r="A30" s="13" t="s">
        <v>86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3" t="s">
        <v>87</v>
      </c>
      <c r="B31" s="11" t="s">
        <v>9</v>
      </c>
      <c r="C31" s="43">
        <v>65000</v>
      </c>
      <c r="D31" s="12"/>
      <c r="E31" s="43">
        <f t="shared" si="0"/>
        <v>0</v>
      </c>
    </row>
    <row r="32" spans="1:14" ht="22.5" customHeight="1" x14ac:dyDescent="0.15">
      <c r="A32" s="10" t="s">
        <v>46</v>
      </c>
      <c r="B32" s="11" t="s">
        <v>9</v>
      </c>
      <c r="C32" s="43">
        <v>60000</v>
      </c>
      <c r="D32" s="12">
        <f>D2</f>
        <v>1</v>
      </c>
      <c r="E32" s="43">
        <f t="shared" si="0"/>
        <v>60000</v>
      </c>
    </row>
    <row r="33" spans="1:5" ht="22.5" customHeight="1" x14ac:dyDescent="0.15">
      <c r="A33" s="10" t="s">
        <v>47</v>
      </c>
      <c r="B33" s="11" t="s">
        <v>9</v>
      </c>
      <c r="C33" s="43">
        <v>60000</v>
      </c>
      <c r="D33" s="12"/>
      <c r="E33" s="43">
        <f t="shared" si="0"/>
        <v>0</v>
      </c>
    </row>
    <row r="34" spans="1:5" ht="22.5" customHeight="1" x14ac:dyDescent="0.15">
      <c r="A34" s="13" t="s">
        <v>12</v>
      </c>
      <c r="B34" s="11" t="s">
        <v>5</v>
      </c>
      <c r="C34" s="43">
        <v>35000</v>
      </c>
      <c r="D34" s="12"/>
      <c r="E34" s="43">
        <f t="shared" si="0"/>
        <v>0</v>
      </c>
    </row>
    <row r="35" spans="1:5" ht="22.5" customHeight="1" x14ac:dyDescent="0.2">
      <c r="A35" s="9" t="s">
        <v>13</v>
      </c>
      <c r="B35" s="7"/>
      <c r="C35" s="45"/>
      <c r="D35" s="12"/>
      <c r="E35" s="43"/>
    </row>
    <row r="36" spans="1:5" ht="22.5" customHeight="1" x14ac:dyDescent="0.15">
      <c r="A36" s="10" t="s">
        <v>48</v>
      </c>
      <c r="B36" s="11" t="s">
        <v>9</v>
      </c>
      <c r="C36" s="43">
        <v>160000</v>
      </c>
      <c r="D36" s="12">
        <f>D2</f>
        <v>1</v>
      </c>
      <c r="E36" s="43">
        <f t="shared" si="0"/>
        <v>160000</v>
      </c>
    </row>
    <row r="37" spans="1:5" ht="22.5" customHeight="1" x14ac:dyDescent="0.15">
      <c r="A37" s="13" t="s">
        <v>14</v>
      </c>
      <c r="B37" s="11" t="s">
        <v>9</v>
      </c>
      <c r="C37" s="43">
        <v>500000</v>
      </c>
      <c r="D37" s="12">
        <f>ROUNDUP(D2/4,0)</f>
        <v>1</v>
      </c>
      <c r="E37" s="43">
        <f t="shared" si="0"/>
        <v>500000</v>
      </c>
    </row>
    <row r="38" spans="1:5" ht="22.5" customHeight="1" x14ac:dyDescent="0.2">
      <c r="A38" s="15" t="s">
        <v>15</v>
      </c>
      <c r="B38" s="7"/>
      <c r="C38" s="45"/>
      <c r="D38" s="12"/>
      <c r="E38" s="43"/>
    </row>
    <row r="39" spans="1:5" ht="22.5" customHeight="1" x14ac:dyDescent="0.15">
      <c r="A39" s="13" t="s">
        <v>16</v>
      </c>
      <c r="B39" s="11" t="s">
        <v>9</v>
      </c>
      <c r="C39" s="43">
        <v>90000</v>
      </c>
      <c r="D39" s="12">
        <f>D2</f>
        <v>1</v>
      </c>
      <c r="E39" s="43">
        <f t="shared" si="0"/>
        <v>90000</v>
      </c>
    </row>
    <row r="40" spans="1:5" ht="22.5" customHeight="1" x14ac:dyDescent="0.15">
      <c r="A40" s="10" t="s">
        <v>65</v>
      </c>
      <c r="B40" s="11" t="s">
        <v>5</v>
      </c>
      <c r="C40" s="43">
        <v>100000</v>
      </c>
      <c r="D40" s="12">
        <v>1</v>
      </c>
      <c r="E40" s="43">
        <f t="shared" si="0"/>
        <v>100000</v>
      </c>
    </row>
    <row r="41" spans="1:5" ht="22.5" customHeight="1" x14ac:dyDescent="0.2">
      <c r="A41" s="16" t="s">
        <v>17</v>
      </c>
      <c r="B41" s="7"/>
      <c r="C41" s="44"/>
      <c r="D41" s="12"/>
      <c r="E41" s="43"/>
    </row>
    <row r="42" spans="1:5" ht="22.5" customHeight="1" x14ac:dyDescent="0.2">
      <c r="A42" s="9" t="s">
        <v>18</v>
      </c>
      <c r="B42" s="7"/>
      <c r="C42" s="44"/>
      <c r="D42" s="12"/>
      <c r="E42" s="43"/>
    </row>
    <row r="43" spans="1:5" ht="22.5" customHeight="1" x14ac:dyDescent="0.15">
      <c r="A43" s="13" t="s">
        <v>19</v>
      </c>
      <c r="B43" s="11" t="s">
        <v>20</v>
      </c>
      <c r="C43" s="43">
        <v>450000</v>
      </c>
      <c r="D43" s="12">
        <f>IF($D$2=1,$C$2, IF($D$2=2,$C$2,0))</f>
        <v>3</v>
      </c>
      <c r="E43" s="43">
        <f t="shared" ref="E43:E69" si="2">C43*D43</f>
        <v>1350000</v>
      </c>
    </row>
    <row r="44" spans="1:5" ht="22.5" customHeight="1" x14ac:dyDescent="0.15">
      <c r="A44" s="13" t="s">
        <v>21</v>
      </c>
      <c r="B44" s="11" t="s">
        <v>20</v>
      </c>
      <c r="C44" s="43">
        <v>550000</v>
      </c>
      <c r="D44" s="12">
        <f>IF($D$2=3,$C$2, 0)</f>
        <v>0</v>
      </c>
      <c r="E44" s="43">
        <f t="shared" si="2"/>
        <v>0</v>
      </c>
    </row>
    <row r="45" spans="1:5" ht="22.5" customHeight="1" x14ac:dyDescent="0.15">
      <c r="A45" s="10" t="s">
        <v>22</v>
      </c>
      <c r="B45" s="11" t="s">
        <v>20</v>
      </c>
      <c r="C45" s="43">
        <v>1100000</v>
      </c>
      <c r="D45" s="12">
        <f>IF((($D$2&gt;=4)*($D$2&lt;=11))=1,$C$2,0)</f>
        <v>0</v>
      </c>
      <c r="E45" s="43">
        <f t="shared" si="2"/>
        <v>0</v>
      </c>
    </row>
    <row r="46" spans="1:5" ht="22.5" customHeight="1" x14ac:dyDescent="0.15">
      <c r="A46" s="13" t="s">
        <v>23</v>
      </c>
      <c r="B46" s="11" t="s">
        <v>20</v>
      </c>
      <c r="C46" s="43">
        <v>1300000</v>
      </c>
      <c r="D46" s="12"/>
      <c r="E46" s="43">
        <f t="shared" si="2"/>
        <v>0</v>
      </c>
    </row>
    <row r="47" spans="1:5" ht="22.5" customHeight="1" x14ac:dyDescent="0.15">
      <c r="A47" s="10" t="s">
        <v>81</v>
      </c>
      <c r="B47" s="11" t="s">
        <v>20</v>
      </c>
      <c r="C47" s="43">
        <v>650000</v>
      </c>
      <c r="D47" s="12">
        <f>IF((($D$2&gt;=10)*($D$2&lt;=11))=1,3,0)</f>
        <v>0</v>
      </c>
      <c r="E47" s="43">
        <f t="shared" si="2"/>
        <v>0</v>
      </c>
    </row>
    <row r="48" spans="1:5" ht="22.5" customHeight="1" x14ac:dyDescent="0.2">
      <c r="A48" s="9" t="s">
        <v>24</v>
      </c>
      <c r="B48" s="7"/>
      <c r="C48" s="44"/>
      <c r="D48" s="12"/>
      <c r="E48" s="43"/>
    </row>
    <row r="49" spans="1:5" ht="22.5" customHeight="1" x14ac:dyDescent="0.15">
      <c r="A49" s="13" t="s">
        <v>25</v>
      </c>
      <c r="B49" s="11" t="s">
        <v>5</v>
      </c>
      <c r="C49" s="43">
        <v>200000</v>
      </c>
      <c r="D49" s="12">
        <f>IF((($D$2&gt;=10)*($D$2&lt;=11))=1,2,1)</f>
        <v>1</v>
      </c>
      <c r="E49" s="43">
        <f t="shared" si="2"/>
        <v>200000</v>
      </c>
    </row>
    <row r="50" spans="1:5" ht="22.5" customHeight="1" x14ac:dyDescent="0.15">
      <c r="A50" s="10" t="s">
        <v>59</v>
      </c>
      <c r="B50" s="11" t="s">
        <v>5</v>
      </c>
      <c r="C50" s="43">
        <v>300000</v>
      </c>
      <c r="D50" s="12"/>
      <c r="E50" s="43">
        <f t="shared" si="2"/>
        <v>0</v>
      </c>
    </row>
    <row r="51" spans="1:5" ht="22.5" customHeight="1" x14ac:dyDescent="0.2">
      <c r="A51" s="9" t="s">
        <v>26</v>
      </c>
      <c r="B51" s="7"/>
      <c r="C51" s="44"/>
      <c r="D51" s="12"/>
      <c r="E51" s="43">
        <f t="shared" si="2"/>
        <v>0</v>
      </c>
    </row>
    <row r="52" spans="1:5" ht="22.5" customHeight="1" x14ac:dyDescent="0.15">
      <c r="A52" s="13" t="s">
        <v>27</v>
      </c>
      <c r="B52" s="11" t="s">
        <v>28</v>
      </c>
      <c r="C52" s="43">
        <v>200000</v>
      </c>
      <c r="D52" s="12"/>
      <c r="E52" s="43">
        <f t="shared" si="2"/>
        <v>0</v>
      </c>
    </row>
    <row r="53" spans="1:5" ht="22.5" customHeight="1" x14ac:dyDescent="0.2">
      <c r="A53" s="15" t="s">
        <v>64</v>
      </c>
      <c r="B53" s="7"/>
      <c r="C53" s="44"/>
      <c r="D53" s="12"/>
      <c r="E53" s="43">
        <f t="shared" si="2"/>
        <v>0</v>
      </c>
    </row>
    <row r="54" spans="1:5" ht="22.5" customHeight="1" x14ac:dyDescent="0.15">
      <c r="A54" s="10" t="s">
        <v>82</v>
      </c>
      <c r="B54" s="11" t="s">
        <v>28</v>
      </c>
      <c r="C54" s="43">
        <v>700000</v>
      </c>
      <c r="D54" s="12">
        <f>IF((($D$2&gt;=1)*($D$2&lt;=3))=1,1,0)</f>
        <v>1</v>
      </c>
      <c r="E54" s="43">
        <f t="shared" si="2"/>
        <v>700000</v>
      </c>
    </row>
    <row r="55" spans="1:5" ht="22.5" customHeight="1" x14ac:dyDescent="0.15">
      <c r="A55" s="10" t="s">
        <v>83</v>
      </c>
      <c r="B55" s="11" t="s">
        <v>28</v>
      </c>
      <c r="C55" s="43">
        <v>1100000</v>
      </c>
      <c r="D55" s="12">
        <f>IF((($D$2&gt;=4)*($D$2&lt;=11))=1,1,0)</f>
        <v>0</v>
      </c>
      <c r="E55" s="43">
        <f t="shared" si="2"/>
        <v>0</v>
      </c>
    </row>
    <row r="56" spans="1:5" ht="22.5" customHeight="1" x14ac:dyDescent="0.2">
      <c r="A56" s="16" t="s">
        <v>29</v>
      </c>
      <c r="B56" s="7"/>
      <c r="C56" s="44"/>
      <c r="D56" s="12"/>
      <c r="E56" s="43">
        <f t="shared" si="2"/>
        <v>0</v>
      </c>
    </row>
    <row r="57" spans="1:5" ht="22.5" customHeight="1" x14ac:dyDescent="0.2">
      <c r="A57" s="9" t="s">
        <v>30</v>
      </c>
      <c r="B57" s="7"/>
      <c r="C57" s="44"/>
      <c r="D57" s="12"/>
      <c r="E57" s="43">
        <f t="shared" si="2"/>
        <v>0</v>
      </c>
    </row>
    <row r="58" spans="1:5" ht="22.5" customHeight="1" x14ac:dyDescent="0.15">
      <c r="A58" s="13" t="s">
        <v>31</v>
      </c>
      <c r="B58" s="11" t="s">
        <v>20</v>
      </c>
      <c r="C58" s="43">
        <v>250000</v>
      </c>
      <c r="D58" s="12">
        <f>IF((($D$2&gt;=1)*($D$2&lt;=3))=1,$C$2,0)</f>
        <v>3</v>
      </c>
      <c r="E58" s="43">
        <f t="shared" si="2"/>
        <v>750000</v>
      </c>
    </row>
    <row r="59" spans="1:5" ht="22.5" customHeight="1" x14ac:dyDescent="0.15">
      <c r="A59" s="10" t="s">
        <v>60</v>
      </c>
      <c r="B59" s="11" t="s">
        <v>20</v>
      </c>
      <c r="C59" s="43">
        <v>250000</v>
      </c>
      <c r="D59" s="12">
        <f>IF((($D$2&gt;=4)*($D$2&lt;=11))=1,$C$2,0)</f>
        <v>0</v>
      </c>
      <c r="E59" s="43">
        <f t="shared" si="2"/>
        <v>0</v>
      </c>
    </row>
    <row r="60" spans="1:5" ht="22.5" customHeight="1" x14ac:dyDescent="0.15">
      <c r="A60" s="10" t="s">
        <v>61</v>
      </c>
      <c r="B60" s="11" t="s">
        <v>20</v>
      </c>
      <c r="C60" s="43">
        <v>200000</v>
      </c>
      <c r="D60" s="12"/>
      <c r="E60" s="43">
        <f t="shared" si="2"/>
        <v>0</v>
      </c>
    </row>
    <row r="61" spans="1:5" ht="22.5" customHeight="1" x14ac:dyDescent="0.2">
      <c r="A61" s="16" t="s">
        <v>32</v>
      </c>
      <c r="B61" s="7"/>
      <c r="C61" s="44"/>
      <c r="D61" s="12"/>
      <c r="E61" s="43">
        <f t="shared" si="2"/>
        <v>0</v>
      </c>
    </row>
    <row r="62" spans="1:5" ht="22.5" customHeight="1" x14ac:dyDescent="0.2">
      <c r="A62" s="9" t="s">
        <v>33</v>
      </c>
      <c r="B62" s="7"/>
      <c r="C62" s="44"/>
      <c r="D62" s="12"/>
      <c r="E62" s="43">
        <f t="shared" si="2"/>
        <v>0</v>
      </c>
    </row>
    <row r="63" spans="1:5" ht="22.5" customHeight="1" x14ac:dyDescent="0.15">
      <c r="A63" s="13" t="s">
        <v>34</v>
      </c>
      <c r="B63" s="11" t="s">
        <v>73</v>
      </c>
      <c r="C63" s="43">
        <v>50000</v>
      </c>
      <c r="D63" s="12">
        <f>ROUNDUP(D2*C2*3/24,0)</f>
        <v>1</v>
      </c>
      <c r="E63" s="43">
        <f t="shared" si="2"/>
        <v>50000</v>
      </c>
    </row>
    <row r="64" spans="1:5" ht="22.5" customHeight="1" x14ac:dyDescent="0.15">
      <c r="A64" s="13" t="s">
        <v>36</v>
      </c>
      <c r="B64" s="11" t="s">
        <v>35</v>
      </c>
      <c r="C64" s="43">
        <v>100000</v>
      </c>
      <c r="D64" s="12">
        <v>1</v>
      </c>
      <c r="E64" s="43">
        <f t="shared" si="2"/>
        <v>100000</v>
      </c>
    </row>
    <row r="65" spans="1:5" ht="22.5" customHeight="1" x14ac:dyDescent="0.15">
      <c r="A65" s="13" t="s">
        <v>37</v>
      </c>
      <c r="B65" s="11" t="s">
        <v>9</v>
      </c>
      <c r="C65" s="43">
        <v>60000</v>
      </c>
      <c r="D65" s="12">
        <f>D2</f>
        <v>1</v>
      </c>
      <c r="E65" s="43">
        <f t="shared" si="2"/>
        <v>60000</v>
      </c>
    </row>
    <row r="66" spans="1:5" ht="22.5" customHeight="1" x14ac:dyDescent="0.2">
      <c r="A66" s="9" t="s">
        <v>38</v>
      </c>
      <c r="B66" s="7"/>
      <c r="C66" s="14"/>
      <c r="D66" s="12"/>
      <c r="E66" s="43">
        <f t="shared" si="2"/>
        <v>0</v>
      </c>
    </row>
    <row r="67" spans="1:5" ht="22.5" customHeight="1" x14ac:dyDescent="0.15">
      <c r="A67" s="13" t="s">
        <v>39</v>
      </c>
      <c r="B67" s="11" t="s">
        <v>28</v>
      </c>
      <c r="C67" s="12">
        <v>2000000</v>
      </c>
      <c r="D67" s="12"/>
      <c r="E67" s="43">
        <f t="shared" si="2"/>
        <v>0</v>
      </c>
    </row>
    <row r="68" spans="1:5" ht="22.5" customHeight="1" x14ac:dyDescent="0.2">
      <c r="A68" s="9" t="s">
        <v>40</v>
      </c>
      <c r="B68" s="7"/>
      <c r="C68" s="14"/>
      <c r="D68" s="12"/>
      <c r="E68" s="43">
        <f t="shared" si="2"/>
        <v>0</v>
      </c>
    </row>
    <row r="69" spans="1:5" ht="22.5" customHeight="1" x14ac:dyDescent="0.15">
      <c r="A69" s="13" t="s">
        <v>41</v>
      </c>
      <c r="B69" s="11" t="s">
        <v>9</v>
      </c>
      <c r="C69" s="12">
        <v>16000</v>
      </c>
      <c r="D69" s="12">
        <f>D2</f>
        <v>1</v>
      </c>
      <c r="E69" s="43">
        <f t="shared" si="2"/>
        <v>16000</v>
      </c>
    </row>
    <row r="70" spans="1:5" ht="22.5" customHeight="1" x14ac:dyDescent="0.15">
      <c r="A70" s="10" t="s">
        <v>50</v>
      </c>
      <c r="B70" s="11" t="s">
        <v>5</v>
      </c>
      <c r="C70" s="12">
        <v>100000</v>
      </c>
      <c r="D70" s="12">
        <v>1</v>
      </c>
      <c r="E70" s="43">
        <f>C70*D70</f>
        <v>100000</v>
      </c>
    </row>
    <row r="71" spans="1:5" s="1" customFormat="1" ht="30" customHeight="1" x14ac:dyDescent="0.15">
      <c r="A71" s="18" t="s">
        <v>74</v>
      </c>
      <c r="B71" s="17"/>
      <c r="C71" s="5"/>
      <c r="D71" s="12"/>
      <c r="E71" s="46">
        <f>SUM(E7:E70)</f>
        <v>5871000</v>
      </c>
    </row>
    <row r="72" spans="1:5" ht="36" customHeight="1" x14ac:dyDescent="0.15">
      <c r="A72" s="18" t="s">
        <v>78</v>
      </c>
      <c r="B72" s="8"/>
      <c r="C72" s="8"/>
      <c r="D72" s="8"/>
      <c r="E72" s="46">
        <f>E71/D2</f>
        <v>5871000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495-146E-B049-9D53-4B7353738715}">
  <sheetPr>
    <pageSetUpPr fitToPage="1"/>
  </sheetPr>
  <dimension ref="A1:N70"/>
  <sheetViews>
    <sheetView topLeftCell="A54" zoomScale="150" zoomScaleNormal="70" workbookViewId="0">
      <selection activeCell="D68" sqref="D68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2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62</v>
      </c>
      <c r="B7" s="11" t="s">
        <v>5</v>
      </c>
      <c r="C7" s="43">
        <v>500000</v>
      </c>
      <c r="D7" s="12">
        <f>ROUNDUP(D2/2,0)</f>
        <v>1</v>
      </c>
      <c r="E7" s="43">
        <f t="shared" ref="E7:E38" si="0">C7*D7</f>
        <v>500000</v>
      </c>
    </row>
    <row r="8" spans="1:14" ht="22.5" customHeight="1" x14ac:dyDescent="0.15">
      <c r="A8" s="10" t="s">
        <v>63</v>
      </c>
      <c r="B8" s="11" t="s">
        <v>5</v>
      </c>
      <c r="C8" s="43">
        <v>580000</v>
      </c>
      <c r="D8" s="12"/>
      <c r="E8" s="43">
        <f t="shared" si="0"/>
        <v>0</v>
      </c>
    </row>
    <row r="9" spans="1:14" ht="22.5" hidden="1" customHeight="1" x14ac:dyDescent="0.15">
      <c r="A9" s="10" t="s">
        <v>42</v>
      </c>
      <c r="B9" s="11" t="s">
        <v>5</v>
      </c>
      <c r="C9" s="43">
        <v>250000</v>
      </c>
      <c r="D9" s="12"/>
      <c r="E9" s="43">
        <f t="shared" si="0"/>
        <v>0</v>
      </c>
    </row>
    <row r="10" spans="1:14" ht="22.5" hidden="1" customHeight="1" x14ac:dyDescent="0.15">
      <c r="A10" s="10" t="s">
        <v>43</v>
      </c>
      <c r="B10" s="11" t="s">
        <v>5</v>
      </c>
      <c r="C10" s="43">
        <v>275000</v>
      </c>
      <c r="D10" s="12"/>
      <c r="E10" s="43">
        <f t="shared" si="0"/>
        <v>0</v>
      </c>
    </row>
    <row r="11" spans="1:14" ht="22.5" hidden="1" customHeight="1" x14ac:dyDescent="0.15">
      <c r="A11" s="10" t="s">
        <v>44</v>
      </c>
      <c r="B11" s="11" t="s">
        <v>5</v>
      </c>
      <c r="C11" s="43">
        <v>450000</v>
      </c>
      <c r="D11" s="12"/>
      <c r="E11" s="43">
        <f t="shared" si="0"/>
        <v>0</v>
      </c>
    </row>
    <row r="12" spans="1:14" ht="22.5" hidden="1" customHeight="1" x14ac:dyDescent="0.15">
      <c r="A12" s="10" t="s">
        <v>45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54</v>
      </c>
      <c r="B13" s="11" t="s">
        <v>5</v>
      </c>
      <c r="C13" s="43">
        <v>337500</v>
      </c>
      <c r="D13" s="12"/>
      <c r="E13" s="43">
        <f t="shared" si="0"/>
        <v>0</v>
      </c>
    </row>
    <row r="14" spans="1:14" ht="22.5" hidden="1" customHeight="1" x14ac:dyDescent="0.2">
      <c r="A14" s="10" t="s">
        <v>56</v>
      </c>
      <c r="B14" s="11" t="s">
        <v>5</v>
      </c>
      <c r="C14" s="43">
        <v>375000</v>
      </c>
      <c r="D14" s="12"/>
      <c r="E14" s="43">
        <f t="shared" si="0"/>
        <v>0</v>
      </c>
      <c r="H14" s="36"/>
      <c r="I14" s="37"/>
      <c r="J14" s="37"/>
      <c r="K14" s="38"/>
      <c r="L14" s="38"/>
      <c r="M14" s="38"/>
      <c r="N14" s="38"/>
    </row>
    <row r="15" spans="1:14" ht="22.5" hidden="1" customHeight="1" x14ac:dyDescent="0.2">
      <c r="A15" s="10" t="s">
        <v>55</v>
      </c>
      <c r="B15" s="11" t="s">
        <v>5</v>
      </c>
      <c r="C15" s="43">
        <v>412500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57</v>
      </c>
      <c r="B16" s="11" t="s">
        <v>5</v>
      </c>
      <c r="C16" s="43">
        <v>487500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58</v>
      </c>
      <c r="B17" s="11" t="s">
        <v>5</v>
      </c>
      <c r="C17" s="43">
        <v>562500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customHeight="1" x14ac:dyDescent="0.2">
      <c r="A18" s="9" t="s">
        <v>6</v>
      </c>
      <c r="B18" s="7"/>
      <c r="C18" s="44"/>
      <c r="D18" s="12"/>
      <c r="E18" s="43"/>
    </row>
    <row r="19" spans="1:14" ht="22.5" customHeight="1" x14ac:dyDescent="0.15">
      <c r="A19" s="10" t="s">
        <v>51</v>
      </c>
      <c r="B19" s="11" t="s">
        <v>5</v>
      </c>
      <c r="C19" s="43">
        <v>750000</v>
      </c>
      <c r="D19" s="12">
        <f>ROUNDUP(D2/2,0)</f>
        <v>1</v>
      </c>
      <c r="E19" s="43">
        <f t="shared" si="0"/>
        <v>750000</v>
      </c>
    </row>
    <row r="20" spans="1:14" ht="22.5" customHeight="1" x14ac:dyDescent="0.15">
      <c r="A20" s="10" t="s">
        <v>52</v>
      </c>
      <c r="B20" s="11" t="s">
        <v>5</v>
      </c>
      <c r="C20" s="43">
        <v>950000</v>
      </c>
      <c r="D20" s="12"/>
      <c r="E20" s="43">
        <f t="shared" si="0"/>
        <v>0</v>
      </c>
    </row>
    <row r="21" spans="1:14" ht="22.5" customHeight="1" x14ac:dyDescent="0.15">
      <c r="A21" s="10" t="s">
        <v>53</v>
      </c>
      <c r="B21" s="11" t="s">
        <v>5</v>
      </c>
      <c r="C21" s="43">
        <v>300000</v>
      </c>
      <c r="D21" s="12"/>
      <c r="E21" s="43">
        <f t="shared" si="0"/>
        <v>0</v>
      </c>
    </row>
    <row r="22" spans="1:14" ht="22.5" customHeight="1" x14ac:dyDescent="0.2">
      <c r="A22" s="6" t="s">
        <v>7</v>
      </c>
      <c r="B22" s="7"/>
      <c r="C22" s="44"/>
      <c r="D22" s="12"/>
      <c r="E22" s="43"/>
    </row>
    <row r="23" spans="1:14" ht="22.5" customHeight="1" x14ac:dyDescent="0.2">
      <c r="A23" s="9" t="s">
        <v>8</v>
      </c>
      <c r="B23" s="7"/>
      <c r="C23" s="44"/>
      <c r="D23" s="12"/>
      <c r="E23" s="43"/>
    </row>
    <row r="24" spans="1:14" ht="22.5" customHeight="1" x14ac:dyDescent="0.15">
      <c r="A24" s="10" t="s">
        <v>49</v>
      </c>
      <c r="B24" s="11" t="s">
        <v>9</v>
      </c>
      <c r="C24" s="43">
        <v>75000</v>
      </c>
      <c r="D24" s="12">
        <f>D2</f>
        <v>2</v>
      </c>
      <c r="E24" s="43">
        <f t="shared" si="0"/>
        <v>150000</v>
      </c>
    </row>
    <row r="25" spans="1:14" ht="22.5" customHeight="1" x14ac:dyDescent="0.15">
      <c r="A25" s="13" t="s">
        <v>10</v>
      </c>
      <c r="B25" s="11" t="s">
        <v>9</v>
      </c>
      <c r="C25" s="43">
        <v>55000</v>
      </c>
      <c r="D25" s="12"/>
      <c r="E25" s="43">
        <f t="shared" si="0"/>
        <v>0</v>
      </c>
    </row>
    <row r="26" spans="1:14" ht="22.5" customHeight="1" x14ac:dyDescent="0.15">
      <c r="A26" s="10" t="s">
        <v>11</v>
      </c>
      <c r="B26" s="11" t="s">
        <v>9</v>
      </c>
      <c r="C26" s="43">
        <v>25000</v>
      </c>
      <c r="D26" s="12">
        <f>D2</f>
        <v>2</v>
      </c>
      <c r="E26" s="43">
        <f t="shared" si="0"/>
        <v>50000</v>
      </c>
    </row>
    <row r="27" spans="1:14" ht="22.5" customHeight="1" x14ac:dyDescent="0.15">
      <c r="A27" s="10" t="s">
        <v>66</v>
      </c>
      <c r="B27" s="11" t="s">
        <v>5</v>
      </c>
      <c r="C27" s="43">
        <v>250000</v>
      </c>
      <c r="D27" s="12">
        <v>1</v>
      </c>
      <c r="E27" s="43">
        <f t="shared" si="0"/>
        <v>250000</v>
      </c>
    </row>
    <row r="28" spans="1:14" ht="22.5" customHeight="1" x14ac:dyDescent="0.15">
      <c r="A28" s="13" t="s">
        <v>86</v>
      </c>
      <c r="B28" s="11" t="s">
        <v>9</v>
      </c>
      <c r="C28" s="43">
        <v>65000</v>
      </c>
      <c r="D28" s="12"/>
      <c r="E28" s="43">
        <f t="shared" si="0"/>
        <v>0</v>
      </c>
    </row>
    <row r="29" spans="1:14" ht="22.5" customHeight="1" x14ac:dyDescent="0.15">
      <c r="A29" s="13" t="s">
        <v>87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0" t="s">
        <v>46</v>
      </c>
      <c r="B30" s="11" t="s">
        <v>9</v>
      </c>
      <c r="C30" s="43">
        <v>60000</v>
      </c>
      <c r="D30" s="12">
        <f>D2</f>
        <v>2</v>
      </c>
      <c r="E30" s="43">
        <f t="shared" si="0"/>
        <v>120000</v>
      </c>
    </row>
    <row r="31" spans="1:14" ht="22.5" customHeight="1" x14ac:dyDescent="0.15">
      <c r="A31" s="10" t="s">
        <v>47</v>
      </c>
      <c r="B31" s="11" t="s">
        <v>9</v>
      </c>
      <c r="C31" s="43">
        <v>60000</v>
      </c>
      <c r="D31" s="12"/>
      <c r="E31" s="43">
        <f t="shared" si="0"/>
        <v>0</v>
      </c>
    </row>
    <row r="32" spans="1:14" ht="22.5" customHeight="1" x14ac:dyDescent="0.15">
      <c r="A32" s="13" t="s">
        <v>12</v>
      </c>
      <c r="B32" s="11" t="s">
        <v>5</v>
      </c>
      <c r="C32" s="43">
        <v>35000</v>
      </c>
      <c r="D32" s="12"/>
      <c r="E32" s="43">
        <f t="shared" si="0"/>
        <v>0</v>
      </c>
    </row>
    <row r="33" spans="1:5" ht="22.5" customHeight="1" x14ac:dyDescent="0.2">
      <c r="A33" s="9" t="s">
        <v>13</v>
      </c>
      <c r="B33" s="7"/>
      <c r="C33" s="45"/>
      <c r="D33" s="12"/>
      <c r="E33" s="43"/>
    </row>
    <row r="34" spans="1:5" ht="22.5" customHeight="1" x14ac:dyDescent="0.15">
      <c r="A34" s="10" t="s">
        <v>48</v>
      </c>
      <c r="B34" s="11" t="s">
        <v>9</v>
      </c>
      <c r="C34" s="43">
        <v>160000</v>
      </c>
      <c r="D34" s="12">
        <f>D2</f>
        <v>2</v>
      </c>
      <c r="E34" s="43">
        <f t="shared" si="0"/>
        <v>320000</v>
      </c>
    </row>
    <row r="35" spans="1:5" ht="22.5" customHeight="1" x14ac:dyDescent="0.15">
      <c r="A35" s="13" t="s">
        <v>14</v>
      </c>
      <c r="B35" s="11" t="s">
        <v>9</v>
      </c>
      <c r="C35" s="43">
        <v>500000</v>
      </c>
      <c r="D35" s="12">
        <f>ROUNDUP(D2/4,0)</f>
        <v>1</v>
      </c>
      <c r="E35" s="43">
        <f t="shared" si="0"/>
        <v>500000</v>
      </c>
    </row>
    <row r="36" spans="1:5" ht="22.5" customHeight="1" x14ac:dyDescent="0.2">
      <c r="A36" s="15" t="s">
        <v>15</v>
      </c>
      <c r="B36" s="7"/>
      <c r="C36" s="45"/>
      <c r="D36" s="12"/>
      <c r="E36" s="43"/>
    </row>
    <row r="37" spans="1:5" ht="22.5" customHeight="1" x14ac:dyDescent="0.15">
      <c r="A37" s="13" t="s">
        <v>16</v>
      </c>
      <c r="B37" s="11" t="s">
        <v>9</v>
      </c>
      <c r="C37" s="43">
        <v>90000</v>
      </c>
      <c r="D37" s="12">
        <f>D2</f>
        <v>2</v>
      </c>
      <c r="E37" s="43">
        <f t="shared" si="0"/>
        <v>180000</v>
      </c>
    </row>
    <row r="38" spans="1:5" ht="22.5" customHeight="1" x14ac:dyDescent="0.15">
      <c r="A38" s="10" t="s">
        <v>65</v>
      </c>
      <c r="B38" s="11" t="s">
        <v>5</v>
      </c>
      <c r="C38" s="43">
        <v>100000</v>
      </c>
      <c r="D38" s="12">
        <v>1</v>
      </c>
      <c r="E38" s="43">
        <f t="shared" si="0"/>
        <v>100000</v>
      </c>
    </row>
    <row r="39" spans="1:5" ht="22.5" customHeight="1" x14ac:dyDescent="0.2">
      <c r="A39" s="16" t="s">
        <v>17</v>
      </c>
      <c r="B39" s="7"/>
      <c r="C39" s="44"/>
      <c r="D39" s="12"/>
      <c r="E39" s="43"/>
    </row>
    <row r="40" spans="1:5" ht="22.5" customHeight="1" x14ac:dyDescent="0.2">
      <c r="A40" s="9" t="s">
        <v>18</v>
      </c>
      <c r="B40" s="7"/>
      <c r="C40" s="44"/>
      <c r="D40" s="12"/>
      <c r="E40" s="43"/>
    </row>
    <row r="41" spans="1:5" ht="22.5" customHeight="1" x14ac:dyDescent="0.15">
      <c r="A41" s="13" t="s">
        <v>19</v>
      </c>
      <c r="B41" s="11" t="s">
        <v>20</v>
      </c>
      <c r="C41" s="43">
        <v>450000</v>
      </c>
      <c r="D41" s="12">
        <f>IF($D$2=1,$C$2, IF($D$2=2,$C$2,0))</f>
        <v>3</v>
      </c>
      <c r="E41" s="43">
        <f t="shared" ref="E41:E67" si="1">C41*D41</f>
        <v>1350000</v>
      </c>
    </row>
    <row r="42" spans="1:5" ht="22.5" customHeight="1" x14ac:dyDescent="0.15">
      <c r="A42" s="13" t="s">
        <v>21</v>
      </c>
      <c r="B42" s="11" t="s">
        <v>20</v>
      </c>
      <c r="C42" s="43">
        <v>550000</v>
      </c>
      <c r="D42" s="12">
        <f>IF($D$2=3,$C$2, 0)</f>
        <v>0</v>
      </c>
      <c r="E42" s="43">
        <f t="shared" si="1"/>
        <v>0</v>
      </c>
    </row>
    <row r="43" spans="1:5" ht="22.5" customHeight="1" x14ac:dyDescent="0.15">
      <c r="A43" s="10" t="s">
        <v>22</v>
      </c>
      <c r="B43" s="11" t="s">
        <v>20</v>
      </c>
      <c r="C43" s="43">
        <v>1100000</v>
      </c>
      <c r="D43" s="12">
        <f>IF((($D$2&gt;=4)*($D$2&lt;=11))=1,$C$2,0)</f>
        <v>0</v>
      </c>
      <c r="E43" s="43">
        <f t="shared" si="1"/>
        <v>0</v>
      </c>
    </row>
    <row r="44" spans="1:5" ht="22.5" customHeight="1" x14ac:dyDescent="0.15">
      <c r="A44" s="13" t="s">
        <v>23</v>
      </c>
      <c r="B44" s="11" t="s">
        <v>20</v>
      </c>
      <c r="C44" s="43">
        <v>1300000</v>
      </c>
      <c r="D44" s="12"/>
      <c r="E44" s="43">
        <f t="shared" si="1"/>
        <v>0</v>
      </c>
    </row>
    <row r="45" spans="1:5" ht="22.5" customHeight="1" x14ac:dyDescent="0.15">
      <c r="A45" s="10" t="s">
        <v>81</v>
      </c>
      <c r="B45" s="11" t="s">
        <v>20</v>
      </c>
      <c r="C45" s="43">
        <v>650000</v>
      </c>
      <c r="D45" s="12">
        <f>IF((($D$2&gt;=10)*($D$2&lt;=11))=1,3,0)</f>
        <v>0</v>
      </c>
      <c r="E45" s="43">
        <f t="shared" si="1"/>
        <v>0</v>
      </c>
    </row>
    <row r="46" spans="1:5" ht="22.5" customHeight="1" x14ac:dyDescent="0.2">
      <c r="A46" s="9" t="s">
        <v>24</v>
      </c>
      <c r="B46" s="7"/>
      <c r="C46" s="44"/>
      <c r="D46" s="12"/>
      <c r="E46" s="43"/>
    </row>
    <row r="47" spans="1:5" ht="22.5" customHeight="1" x14ac:dyDescent="0.15">
      <c r="A47" s="13" t="s">
        <v>25</v>
      </c>
      <c r="B47" s="11" t="s">
        <v>5</v>
      </c>
      <c r="C47" s="43">
        <v>150000</v>
      </c>
      <c r="D47" s="12">
        <f>IF((($D$2&gt;=10)*($D$2&lt;=11))=1,2,1)</f>
        <v>1</v>
      </c>
      <c r="E47" s="43">
        <f t="shared" si="1"/>
        <v>150000</v>
      </c>
    </row>
    <row r="48" spans="1:5" ht="22.5" customHeight="1" x14ac:dyDescent="0.15">
      <c r="A48" s="10" t="s">
        <v>59</v>
      </c>
      <c r="B48" s="11" t="s">
        <v>5</v>
      </c>
      <c r="C48" s="43">
        <v>300000</v>
      </c>
      <c r="D48" s="12"/>
      <c r="E48" s="43">
        <f t="shared" si="1"/>
        <v>0</v>
      </c>
    </row>
    <row r="49" spans="1:5" ht="22.5" customHeight="1" x14ac:dyDescent="0.2">
      <c r="A49" s="9" t="s">
        <v>26</v>
      </c>
      <c r="B49" s="7"/>
      <c r="C49" s="44"/>
      <c r="D49" s="12"/>
      <c r="E49" s="43">
        <f t="shared" si="1"/>
        <v>0</v>
      </c>
    </row>
    <row r="50" spans="1:5" ht="22.5" customHeight="1" x14ac:dyDescent="0.15">
      <c r="A50" s="13" t="s">
        <v>27</v>
      </c>
      <c r="B50" s="11" t="s">
        <v>28</v>
      </c>
      <c r="C50" s="43">
        <v>200000</v>
      </c>
      <c r="D50" s="12"/>
      <c r="E50" s="43">
        <f t="shared" si="1"/>
        <v>0</v>
      </c>
    </row>
    <row r="51" spans="1:5" ht="22.5" customHeight="1" x14ac:dyDescent="0.2">
      <c r="A51" s="15" t="s">
        <v>64</v>
      </c>
      <c r="B51" s="7"/>
      <c r="C51" s="44"/>
      <c r="D51" s="12"/>
      <c r="E51" s="43">
        <f t="shared" si="1"/>
        <v>0</v>
      </c>
    </row>
    <row r="52" spans="1:5" ht="22.5" customHeight="1" x14ac:dyDescent="0.15">
      <c r="A52" s="10" t="s">
        <v>82</v>
      </c>
      <c r="B52" s="11" t="s">
        <v>28</v>
      </c>
      <c r="C52" s="43">
        <v>650000</v>
      </c>
      <c r="D52" s="12">
        <f>IF((($D$2&gt;=1)*($D$2&lt;=3))=1,1,0)</f>
        <v>1</v>
      </c>
      <c r="E52" s="43">
        <f t="shared" si="1"/>
        <v>650000</v>
      </c>
    </row>
    <row r="53" spans="1:5" ht="22.5" customHeight="1" x14ac:dyDescent="0.15">
      <c r="A53" s="10" t="s">
        <v>83</v>
      </c>
      <c r="B53" s="11" t="s">
        <v>28</v>
      </c>
      <c r="C53" s="43">
        <v>1100000</v>
      </c>
      <c r="D53" s="12">
        <f>IF((($D$2&gt;=4)*($D$2&lt;=11))=1,1,0)</f>
        <v>0</v>
      </c>
      <c r="E53" s="43">
        <f t="shared" si="1"/>
        <v>0</v>
      </c>
    </row>
    <row r="54" spans="1:5" ht="22.5" customHeight="1" x14ac:dyDescent="0.2">
      <c r="A54" s="16" t="s">
        <v>29</v>
      </c>
      <c r="B54" s="7"/>
      <c r="C54" s="44"/>
      <c r="D54" s="12"/>
      <c r="E54" s="43">
        <f t="shared" si="1"/>
        <v>0</v>
      </c>
    </row>
    <row r="55" spans="1:5" ht="22.5" customHeight="1" x14ac:dyDescent="0.2">
      <c r="A55" s="9" t="s">
        <v>30</v>
      </c>
      <c r="B55" s="7"/>
      <c r="C55" s="44"/>
      <c r="D55" s="12"/>
      <c r="E55" s="43">
        <f t="shared" si="1"/>
        <v>0</v>
      </c>
    </row>
    <row r="56" spans="1:5" ht="22.5" customHeight="1" x14ac:dyDescent="0.15">
      <c r="A56" s="13" t="s">
        <v>31</v>
      </c>
      <c r="B56" s="11" t="s">
        <v>20</v>
      </c>
      <c r="C56" s="43">
        <v>250000</v>
      </c>
      <c r="D56" s="12">
        <f>IF((($D$2&gt;=1)*($D$2&lt;=3))=1,$C$2,0)</f>
        <v>3</v>
      </c>
      <c r="E56" s="43">
        <f t="shared" si="1"/>
        <v>750000</v>
      </c>
    </row>
    <row r="57" spans="1:5" ht="22.5" customHeight="1" x14ac:dyDescent="0.15">
      <c r="A57" s="10" t="s">
        <v>60</v>
      </c>
      <c r="B57" s="11" t="s">
        <v>20</v>
      </c>
      <c r="C57" s="43">
        <v>250000</v>
      </c>
      <c r="D57" s="12">
        <f>IF((($D$2&gt;=4)*($D$2&lt;=11))=1,$C$2,0)</f>
        <v>0</v>
      </c>
      <c r="E57" s="43">
        <f t="shared" si="1"/>
        <v>0</v>
      </c>
    </row>
    <row r="58" spans="1:5" ht="22.5" customHeight="1" x14ac:dyDescent="0.15">
      <c r="A58" s="10" t="s">
        <v>61</v>
      </c>
      <c r="B58" s="11" t="s">
        <v>20</v>
      </c>
      <c r="C58" s="43">
        <v>200000</v>
      </c>
      <c r="D58" s="12"/>
      <c r="E58" s="43">
        <f t="shared" si="1"/>
        <v>0</v>
      </c>
    </row>
    <row r="59" spans="1:5" ht="22.5" customHeight="1" x14ac:dyDescent="0.2">
      <c r="A59" s="16" t="s">
        <v>32</v>
      </c>
      <c r="B59" s="7"/>
      <c r="C59" s="44"/>
      <c r="D59" s="12"/>
      <c r="E59" s="43">
        <f t="shared" si="1"/>
        <v>0</v>
      </c>
    </row>
    <row r="60" spans="1:5" ht="22.5" customHeight="1" x14ac:dyDescent="0.2">
      <c r="A60" s="9" t="s">
        <v>33</v>
      </c>
      <c r="B60" s="7"/>
      <c r="C60" s="44"/>
      <c r="D60" s="12"/>
      <c r="E60" s="43">
        <f t="shared" si="1"/>
        <v>0</v>
      </c>
    </row>
    <row r="61" spans="1:5" ht="22.5" customHeight="1" x14ac:dyDescent="0.15">
      <c r="A61" s="13" t="s">
        <v>34</v>
      </c>
      <c r="B61" s="11" t="s">
        <v>73</v>
      </c>
      <c r="C61" s="43">
        <v>50000</v>
      </c>
      <c r="D61" s="12">
        <f>ROUNDUP(D2*C2*3/24,0)</f>
        <v>1</v>
      </c>
      <c r="E61" s="43">
        <f t="shared" si="1"/>
        <v>50000</v>
      </c>
    </row>
    <row r="62" spans="1:5" ht="22.5" customHeight="1" x14ac:dyDescent="0.15">
      <c r="A62" s="13" t="s">
        <v>36</v>
      </c>
      <c r="B62" s="11" t="s">
        <v>35</v>
      </c>
      <c r="C62" s="43">
        <v>100000</v>
      </c>
      <c r="D62" s="12">
        <v>1</v>
      </c>
      <c r="E62" s="43">
        <f t="shared" si="1"/>
        <v>100000</v>
      </c>
    </row>
    <row r="63" spans="1:5" ht="22.5" customHeight="1" x14ac:dyDescent="0.15">
      <c r="A63" s="13" t="s">
        <v>37</v>
      </c>
      <c r="B63" s="11" t="s">
        <v>9</v>
      </c>
      <c r="C63" s="43">
        <v>60000</v>
      </c>
      <c r="D63" s="12">
        <f>D2</f>
        <v>2</v>
      </c>
      <c r="E63" s="43">
        <f t="shared" si="1"/>
        <v>120000</v>
      </c>
    </row>
    <row r="64" spans="1:5" ht="22.5" customHeight="1" x14ac:dyDescent="0.2">
      <c r="A64" s="9" t="s">
        <v>38</v>
      </c>
      <c r="B64" s="7"/>
      <c r="C64" s="14"/>
      <c r="D64" s="12"/>
      <c r="E64" s="43">
        <f t="shared" si="1"/>
        <v>0</v>
      </c>
    </row>
    <row r="65" spans="1:5" ht="22.5" customHeight="1" x14ac:dyDescent="0.15">
      <c r="A65" s="13" t="s">
        <v>39</v>
      </c>
      <c r="B65" s="11" t="s">
        <v>28</v>
      </c>
      <c r="C65" s="12">
        <v>2000000</v>
      </c>
      <c r="D65" s="12"/>
      <c r="E65" s="43">
        <f t="shared" si="1"/>
        <v>0</v>
      </c>
    </row>
    <row r="66" spans="1:5" ht="22.5" customHeight="1" x14ac:dyDescent="0.2">
      <c r="A66" s="9" t="s">
        <v>40</v>
      </c>
      <c r="B66" s="7"/>
      <c r="C66" s="14"/>
      <c r="D66" s="12"/>
      <c r="E66" s="43">
        <f t="shared" si="1"/>
        <v>0</v>
      </c>
    </row>
    <row r="67" spans="1:5" ht="22.5" customHeight="1" x14ac:dyDescent="0.15">
      <c r="A67" s="13" t="s">
        <v>41</v>
      </c>
      <c r="B67" s="11" t="s">
        <v>9</v>
      </c>
      <c r="C67" s="12">
        <v>16000</v>
      </c>
      <c r="D67" s="12">
        <f>D2</f>
        <v>2</v>
      </c>
      <c r="E67" s="43">
        <f t="shared" si="1"/>
        <v>32000</v>
      </c>
    </row>
    <row r="68" spans="1:5" ht="22.5" customHeight="1" x14ac:dyDescent="0.15">
      <c r="A68" s="10" t="s">
        <v>50</v>
      </c>
      <c r="B68" s="11" t="s">
        <v>5</v>
      </c>
      <c r="C68" s="12">
        <v>80000</v>
      </c>
      <c r="D68" s="12">
        <v>1</v>
      </c>
      <c r="E68" s="43">
        <f>C68*D68</f>
        <v>80000</v>
      </c>
    </row>
    <row r="69" spans="1:5" s="1" customFormat="1" ht="30" customHeight="1" x14ac:dyDescent="0.15">
      <c r="A69" s="18" t="s">
        <v>74</v>
      </c>
      <c r="B69" s="17"/>
      <c r="C69" s="5"/>
      <c r="D69" s="12"/>
      <c r="E69" s="46">
        <f>SUM(E7:E68)</f>
        <v>6202000</v>
      </c>
    </row>
    <row r="70" spans="1:5" ht="36" customHeight="1" x14ac:dyDescent="0.15">
      <c r="A70" s="18" t="s">
        <v>78</v>
      </c>
      <c r="B70" s="8"/>
      <c r="C70" s="8"/>
      <c r="D70" s="8"/>
      <c r="E70" s="46">
        <f>E69/D2</f>
        <v>3101000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BCFD-9741-F145-906B-621CDECB2D2C}">
  <sheetPr>
    <pageSetUpPr fitToPage="1"/>
  </sheetPr>
  <dimension ref="A1:N71"/>
  <sheetViews>
    <sheetView zoomScale="150" zoomScaleNormal="70" workbookViewId="0">
      <selection activeCell="C53" sqref="C53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3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v>1</v>
      </c>
      <c r="E7" s="43">
        <f t="shared" ref="E7:E39" si="0">C7*D7</f>
        <v>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>
        <v>1</v>
      </c>
      <c r="E8" s="43">
        <f t="shared" si="0"/>
        <v>250000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/>
      <c r="E20" s="43">
        <f t="shared" si="0"/>
        <v>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>
        <v>1</v>
      </c>
      <c r="E21" s="43">
        <f t="shared" si="0"/>
        <v>950000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3</v>
      </c>
      <c r="E25" s="43">
        <f t="shared" si="0"/>
        <v>225000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3</v>
      </c>
      <c r="E27" s="43">
        <f t="shared" si="0"/>
        <v>75000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3</v>
      </c>
      <c r="E31" s="43">
        <f t="shared" si="0"/>
        <v>180000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3</v>
      </c>
      <c r="E35" s="43">
        <f t="shared" si="0"/>
        <v>480000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1</v>
      </c>
      <c r="E36" s="43">
        <f t="shared" si="0"/>
        <v>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3</v>
      </c>
      <c r="E38" s="43">
        <f t="shared" si="0"/>
        <v>270000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v>3</v>
      </c>
      <c r="E42" s="43">
        <f t="shared" ref="E42:E68" si="1">C42*D42</f>
        <v>1350000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/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0</v>
      </c>
      <c r="E44" s="43">
        <f t="shared" si="1"/>
        <v>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1</v>
      </c>
      <c r="E53" s="43">
        <f t="shared" si="1"/>
        <v>700000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0</v>
      </c>
      <c r="E54" s="43">
        <f t="shared" si="1"/>
        <v>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3</v>
      </c>
      <c r="E57" s="43">
        <f t="shared" si="1"/>
        <v>750000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0</v>
      </c>
      <c r="E58" s="43">
        <f t="shared" si="1"/>
        <v>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2</v>
      </c>
      <c r="E62" s="43">
        <f t="shared" si="1"/>
        <v>100000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3</v>
      </c>
      <c r="E64" s="43">
        <f t="shared" si="1"/>
        <v>180000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3</v>
      </c>
      <c r="E68" s="43">
        <f t="shared" si="1"/>
        <v>48000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7308000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2436000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8917-293B-A24A-89DB-AF95793E31A3}">
  <sheetPr>
    <pageSetUpPr fitToPage="1"/>
  </sheetPr>
  <dimension ref="A1:N71"/>
  <sheetViews>
    <sheetView topLeftCell="A52" zoomScale="150" zoomScaleNormal="70" workbookViewId="0">
      <selection activeCell="D54" sqref="D54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4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2</v>
      </c>
      <c r="E7" s="43">
        <f t="shared" ref="E7:E39" si="0">C7*D7</f>
        <v>1000000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si="0"/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2</v>
      </c>
      <c r="E20" s="43">
        <f t="shared" si="0"/>
        <v>1500000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0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4</v>
      </c>
      <c r="E25" s="43">
        <f t="shared" si="0"/>
        <v>300000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4</v>
      </c>
      <c r="E27" s="43">
        <f t="shared" si="0"/>
        <v>100000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/>
      <c r="E28" s="43">
        <f t="shared" si="0"/>
        <v>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4</v>
      </c>
      <c r="E31" s="43">
        <f t="shared" si="0"/>
        <v>240000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4</v>
      </c>
      <c r="E35" s="43">
        <f t="shared" si="0"/>
        <v>640000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1</v>
      </c>
      <c r="E36" s="43">
        <f t="shared" si="0"/>
        <v>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4</v>
      </c>
      <c r="E38" s="43">
        <f t="shared" si="0"/>
        <v>360000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1000000</v>
      </c>
      <c r="D54" s="12">
        <f>IF((($D$2&gt;=4)*($D$2&lt;=11))=1,1,0)</f>
        <v>1</v>
      </c>
      <c r="E54" s="43">
        <f t="shared" si="1"/>
        <v>1000000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2</v>
      </c>
      <c r="E62" s="43">
        <f t="shared" si="1"/>
        <v>100000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4</v>
      </c>
      <c r="E64" s="43">
        <f t="shared" si="1"/>
        <v>240000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4</v>
      </c>
      <c r="E68" s="43">
        <f t="shared" si="1"/>
        <v>64000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10594000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2648500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5ED3-F16F-644C-93A4-D4B2B9AC9C13}">
  <sheetPr>
    <pageSetUpPr fitToPage="1"/>
  </sheetPr>
  <dimension ref="A1:N71"/>
  <sheetViews>
    <sheetView zoomScale="150" zoomScaleNormal="70" workbookViewId="0">
      <selection activeCell="D22" sqref="D2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5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v>2</v>
      </c>
      <c r="E7" s="43">
        <f t="shared" ref="E7:E39" si="0">C7*D7</f>
        <v>1000000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>
        <v>1</v>
      </c>
      <c r="E8" s="43">
        <f t="shared" si="0"/>
        <v>250000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v>1</v>
      </c>
      <c r="E20" s="43">
        <f t="shared" si="0"/>
        <v>750000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>
        <v>1</v>
      </c>
      <c r="E21" s="43">
        <f t="shared" si="0"/>
        <v>950000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5</v>
      </c>
      <c r="E25" s="43">
        <f t="shared" si="0"/>
        <v>375000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5</v>
      </c>
      <c r="E27" s="43">
        <f t="shared" si="0"/>
        <v>125000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5</v>
      </c>
      <c r="E31" s="43">
        <f t="shared" si="0"/>
        <v>300000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5</v>
      </c>
      <c r="E35" s="43">
        <f t="shared" si="0"/>
        <v>800000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2</v>
      </c>
      <c r="E36" s="43">
        <f t="shared" si="0"/>
        <v>1000000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5</v>
      </c>
      <c r="E38" s="43">
        <f t="shared" si="0"/>
        <v>450000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2</v>
      </c>
      <c r="E62" s="43">
        <f t="shared" si="1"/>
        <v>100000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5</v>
      </c>
      <c r="E64" s="43">
        <f t="shared" si="1"/>
        <v>300000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5</v>
      </c>
      <c r="E68" s="43">
        <f t="shared" si="1"/>
        <v>80000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12380000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2476000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2898-F7C6-7447-882E-91F562EF8025}">
  <sheetPr>
    <pageSetUpPr fitToPage="1"/>
  </sheetPr>
  <dimension ref="A1:N71"/>
  <sheetViews>
    <sheetView topLeftCell="A52" zoomScale="150" zoomScaleNormal="70" workbookViewId="0">
      <selection activeCell="D3" sqref="D3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6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3</v>
      </c>
      <c r="E7" s="43">
        <f t="shared" ref="E7:E39" si="0">C7*D7</f>
        <v>1500000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si="0"/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3</v>
      </c>
      <c r="E20" s="43">
        <f t="shared" si="0"/>
        <v>2250000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0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6</v>
      </c>
      <c r="E25" s="43">
        <f t="shared" si="0"/>
        <v>450000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6</v>
      </c>
      <c r="E27" s="43">
        <f t="shared" si="0"/>
        <v>150000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6</v>
      </c>
      <c r="E31" s="43">
        <f t="shared" si="0"/>
        <v>360000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6</v>
      </c>
      <c r="E35" s="43">
        <f t="shared" si="0"/>
        <v>960000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2</v>
      </c>
      <c r="E36" s="43">
        <f t="shared" si="0"/>
        <v>1000000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6</v>
      </c>
      <c r="E38" s="43">
        <f t="shared" si="0"/>
        <v>540000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3</v>
      </c>
      <c r="E62" s="43">
        <f t="shared" si="1"/>
        <v>150000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6</v>
      </c>
      <c r="E64" s="43">
        <f t="shared" si="1"/>
        <v>360000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6</v>
      </c>
      <c r="E68" s="43">
        <f t="shared" si="1"/>
        <v>96000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13716000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2286000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157C-A667-994B-9C11-7A99148FB5AA}">
  <sheetPr>
    <pageSetUpPr fitToPage="1"/>
  </sheetPr>
  <dimension ref="A1:N71"/>
  <sheetViews>
    <sheetView topLeftCell="A56" zoomScale="150" zoomScaleNormal="70" workbookViewId="0">
      <selection activeCell="D20" sqref="D20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7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v>3</v>
      </c>
      <c r="E7" s="43">
        <f t="shared" ref="E7:E39" si="0">C7*D7</f>
        <v>1500000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>
        <v>1</v>
      </c>
      <c r="E8" s="43">
        <f t="shared" si="0"/>
        <v>250000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v>2</v>
      </c>
      <c r="E20" s="43">
        <f t="shared" si="0"/>
        <v>1500000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>
        <v>1</v>
      </c>
      <c r="E21" s="43">
        <f t="shared" si="0"/>
        <v>950000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7</v>
      </c>
      <c r="E25" s="43">
        <f t="shared" si="0"/>
        <v>525000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7</v>
      </c>
      <c r="E27" s="43">
        <f t="shared" si="0"/>
        <v>175000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7</v>
      </c>
      <c r="E31" s="43">
        <f t="shared" si="0"/>
        <v>420000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7</v>
      </c>
      <c r="E35" s="43">
        <f t="shared" si="0"/>
        <v>1120000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2</v>
      </c>
      <c r="E36" s="43">
        <f t="shared" si="0"/>
        <v>1000000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7</v>
      </c>
      <c r="E38" s="43">
        <f t="shared" si="0"/>
        <v>630000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3</v>
      </c>
      <c r="E62" s="43">
        <f t="shared" si="1"/>
        <v>150000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7</v>
      </c>
      <c r="E64" s="43">
        <f t="shared" si="1"/>
        <v>420000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7</v>
      </c>
      <c r="E68" s="43">
        <f t="shared" si="1"/>
        <v>112000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14652000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2093142.857142857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4784-0856-B74C-BD39-C4887E92527F}">
  <sheetPr>
    <pageSetUpPr fitToPage="1"/>
  </sheetPr>
  <dimension ref="A1:N71"/>
  <sheetViews>
    <sheetView topLeftCell="A53" zoomScale="150" zoomScaleNormal="70" workbookViewId="0">
      <selection activeCell="E2" sqref="E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8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4</v>
      </c>
      <c r="E7" s="43">
        <f t="shared" ref="E7:E39" si="0">C7*D7</f>
        <v>2000000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si="0"/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4</v>
      </c>
      <c r="E20" s="43">
        <f t="shared" si="0"/>
        <v>3000000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0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8</v>
      </c>
      <c r="E25" s="43">
        <f t="shared" si="0"/>
        <v>600000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8</v>
      </c>
      <c r="E27" s="43">
        <f t="shared" si="0"/>
        <v>200000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8</v>
      </c>
      <c r="E31" s="43">
        <f t="shared" si="0"/>
        <v>480000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8</v>
      </c>
      <c r="E35" s="43">
        <f t="shared" si="0"/>
        <v>1280000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2</v>
      </c>
      <c r="E36" s="43">
        <f t="shared" si="0"/>
        <v>1000000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8</v>
      </c>
      <c r="E38" s="43">
        <f t="shared" si="0"/>
        <v>720000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3</v>
      </c>
      <c r="E62" s="43">
        <f t="shared" si="1"/>
        <v>150000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8</v>
      </c>
      <c r="E64" s="43">
        <f t="shared" si="1"/>
        <v>480000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8</v>
      </c>
      <c r="E68" s="43">
        <f t="shared" si="1"/>
        <v>128000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15938000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1992250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F1E4-CCC7-004B-BE5E-C8C67DC3A55C}">
  <sheetPr>
    <pageSetUpPr fitToPage="1"/>
  </sheetPr>
  <dimension ref="A1:N71"/>
  <sheetViews>
    <sheetView topLeftCell="A54" zoomScale="150" zoomScaleNormal="70" workbookViewId="0">
      <selection activeCell="D22" sqref="D2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9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v>4</v>
      </c>
      <c r="E7" s="43">
        <f t="shared" ref="E7:E39" si="0">C7*D7</f>
        <v>2000000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>
        <v>1</v>
      </c>
      <c r="E8" s="43">
        <f t="shared" si="0"/>
        <v>250000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v>3</v>
      </c>
      <c r="E20" s="43">
        <f t="shared" si="0"/>
        <v>2250000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>
        <v>1</v>
      </c>
      <c r="E21" s="43">
        <f t="shared" si="0"/>
        <v>950000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9</v>
      </c>
      <c r="E25" s="43">
        <f t="shared" si="0"/>
        <v>675000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9</v>
      </c>
      <c r="E27" s="43">
        <f t="shared" si="0"/>
        <v>225000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9</v>
      </c>
      <c r="E31" s="43">
        <f t="shared" si="0"/>
        <v>540000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9</v>
      </c>
      <c r="E35" s="43">
        <f t="shared" si="0"/>
        <v>1440000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3</v>
      </c>
      <c r="E36" s="43">
        <f t="shared" si="0"/>
        <v>1500000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9</v>
      </c>
      <c r="E38" s="43">
        <f t="shared" si="0"/>
        <v>810000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0</v>
      </c>
      <c r="E46" s="43">
        <f t="shared" si="1"/>
        <v>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1</v>
      </c>
      <c r="E48" s="43">
        <f t="shared" si="1"/>
        <v>200000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4</v>
      </c>
      <c r="E62" s="43">
        <f t="shared" si="1"/>
        <v>200000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9</v>
      </c>
      <c r="E64" s="43">
        <f t="shared" si="1"/>
        <v>540000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9</v>
      </c>
      <c r="E68" s="43">
        <f t="shared" si="1"/>
        <v>144000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17424000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1936000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0CBF-EA9D-5848-B734-919396F41E7D}">
  <sheetPr>
    <pageSetUpPr fitToPage="1"/>
  </sheetPr>
  <dimension ref="A1:N71"/>
  <sheetViews>
    <sheetView topLeftCell="A53" zoomScale="150" zoomScaleNormal="70" workbookViewId="0">
      <selection activeCell="E2" sqref="E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10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f>ROUNDUP(D2/2,0)</f>
        <v>5</v>
      </c>
      <c r="E7" s="43">
        <f t="shared" ref="E7:E39" si="0">C7*D7</f>
        <v>2500000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/>
      <c r="E8" s="43">
        <f t="shared" si="0"/>
        <v>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f>ROUNDUP(D2/2,0)</f>
        <v>5</v>
      </c>
      <c r="E20" s="43">
        <f t="shared" si="0"/>
        <v>3750000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/>
      <c r="E21" s="43">
        <f t="shared" si="0"/>
        <v>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10</v>
      </c>
      <c r="E25" s="43">
        <f t="shared" si="0"/>
        <v>750000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10</v>
      </c>
      <c r="E27" s="43">
        <f t="shared" si="0"/>
        <v>250000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10</v>
      </c>
      <c r="E31" s="43">
        <f t="shared" si="0"/>
        <v>600000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10</v>
      </c>
      <c r="E35" s="43">
        <f t="shared" si="0"/>
        <v>1600000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3</v>
      </c>
      <c r="E36" s="43">
        <f t="shared" si="0"/>
        <v>1500000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10</v>
      </c>
      <c r="E38" s="43">
        <f t="shared" si="0"/>
        <v>900000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3</v>
      </c>
      <c r="E46" s="43">
        <f t="shared" si="1"/>
        <v>1950000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2</v>
      </c>
      <c r="E48" s="43">
        <f t="shared" si="1"/>
        <v>400000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4</v>
      </c>
      <c r="E62" s="43">
        <f t="shared" si="1"/>
        <v>200000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10</v>
      </c>
      <c r="E64" s="43">
        <f t="shared" si="1"/>
        <v>600000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10</v>
      </c>
      <c r="E68" s="43">
        <f t="shared" si="1"/>
        <v>160000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20860000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2086000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FDC0-E8B7-8C47-AD2B-AE6E6047E3BE}">
  <sheetPr>
    <pageSetUpPr fitToPage="1"/>
  </sheetPr>
  <dimension ref="A1:N71"/>
  <sheetViews>
    <sheetView topLeftCell="A55" zoomScale="150" zoomScaleNormal="70" workbookViewId="0">
      <selection activeCell="D22" sqref="D2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67</v>
      </c>
      <c r="B1" s="2" t="s">
        <v>68</v>
      </c>
      <c r="C1" s="2" t="s">
        <v>69</v>
      </c>
      <c r="D1" s="2" t="s">
        <v>70</v>
      </c>
    </row>
    <row r="2" spans="1:14" ht="27.75" customHeight="1" x14ac:dyDescent="0.15">
      <c r="A2" s="3" t="s">
        <v>85</v>
      </c>
      <c r="B2" s="3">
        <v>63</v>
      </c>
      <c r="C2" s="3">
        <v>3</v>
      </c>
      <c r="D2" s="47">
        <v>11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71</v>
      </c>
      <c r="E4" s="5" t="s">
        <v>72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88</v>
      </c>
      <c r="B7" s="11" t="s">
        <v>5</v>
      </c>
      <c r="C7" s="43">
        <v>500000</v>
      </c>
      <c r="D7" s="12">
        <v>5</v>
      </c>
      <c r="E7" s="43">
        <f t="shared" ref="E7:E39" si="0">C7*D7</f>
        <v>2500000</v>
      </c>
    </row>
    <row r="8" spans="1:14" ht="22.5" customHeight="1" x14ac:dyDescent="0.15">
      <c r="A8" s="10" t="s">
        <v>89</v>
      </c>
      <c r="B8" s="11" t="s">
        <v>5</v>
      </c>
      <c r="C8" s="43">
        <v>250000</v>
      </c>
      <c r="D8" s="12">
        <v>1</v>
      </c>
      <c r="E8" s="43">
        <f t="shared" si="0"/>
        <v>250000</v>
      </c>
    </row>
    <row r="9" spans="1:14" ht="22.5" customHeight="1" x14ac:dyDescent="0.15">
      <c r="A9" s="10" t="s">
        <v>63</v>
      </c>
      <c r="B9" s="11" t="s">
        <v>5</v>
      </c>
      <c r="C9" s="43">
        <v>580000</v>
      </c>
      <c r="D9" s="12"/>
      <c r="E9" s="43">
        <f t="shared" si="0"/>
        <v>0</v>
      </c>
    </row>
    <row r="10" spans="1:14" ht="22.5" hidden="1" customHeight="1" x14ac:dyDescent="0.15">
      <c r="A10" s="10" t="s">
        <v>42</v>
      </c>
      <c r="B10" s="11" t="s">
        <v>5</v>
      </c>
      <c r="C10" s="43">
        <v>250000</v>
      </c>
      <c r="D10" s="12"/>
      <c r="E10" s="43">
        <f t="shared" si="0"/>
        <v>0</v>
      </c>
    </row>
    <row r="11" spans="1:14" ht="22.5" hidden="1" customHeight="1" x14ac:dyDescent="0.15">
      <c r="A11" s="10" t="s">
        <v>43</v>
      </c>
      <c r="B11" s="11" t="s">
        <v>5</v>
      </c>
      <c r="C11" s="43">
        <v>275000</v>
      </c>
      <c r="D11" s="12"/>
      <c r="E11" s="43">
        <f t="shared" si="0"/>
        <v>0</v>
      </c>
    </row>
    <row r="12" spans="1:14" ht="22.5" hidden="1" customHeight="1" x14ac:dyDescent="0.15">
      <c r="A12" s="10" t="s">
        <v>44</v>
      </c>
      <c r="B12" s="11" t="s">
        <v>5</v>
      </c>
      <c r="C12" s="43">
        <v>450000</v>
      </c>
      <c r="D12" s="12"/>
      <c r="E12" s="43">
        <f t="shared" si="0"/>
        <v>0</v>
      </c>
    </row>
    <row r="13" spans="1:14" ht="22.5" hidden="1" customHeight="1" x14ac:dyDescent="0.15">
      <c r="A13" s="10" t="s">
        <v>45</v>
      </c>
      <c r="B13" s="11" t="s">
        <v>5</v>
      </c>
      <c r="C13" s="43">
        <v>450000</v>
      </c>
      <c r="D13" s="12"/>
      <c r="E13" s="43">
        <f t="shared" si="0"/>
        <v>0</v>
      </c>
    </row>
    <row r="14" spans="1:14" ht="22.5" hidden="1" customHeight="1" x14ac:dyDescent="0.15">
      <c r="A14" s="10" t="s">
        <v>54</v>
      </c>
      <c r="B14" s="11" t="s">
        <v>5</v>
      </c>
      <c r="C14" s="43">
        <v>337500</v>
      </c>
      <c r="D14" s="12"/>
      <c r="E14" s="43">
        <f t="shared" si="0"/>
        <v>0</v>
      </c>
    </row>
    <row r="15" spans="1:14" ht="22.5" hidden="1" customHeight="1" x14ac:dyDescent="0.2">
      <c r="A15" s="10" t="s">
        <v>56</v>
      </c>
      <c r="B15" s="11" t="s">
        <v>5</v>
      </c>
      <c r="C15" s="43">
        <v>375000</v>
      </c>
      <c r="D15" s="12"/>
      <c r="E15" s="43">
        <f t="shared" si="0"/>
        <v>0</v>
      </c>
      <c r="H15" s="36"/>
      <c r="I15" s="37"/>
      <c r="J15" s="37"/>
      <c r="K15" s="38"/>
      <c r="L15" s="38"/>
      <c r="M15" s="38"/>
      <c r="N15" s="38"/>
    </row>
    <row r="16" spans="1:14" ht="22.5" hidden="1" customHeight="1" x14ac:dyDescent="0.2">
      <c r="A16" s="10" t="s">
        <v>55</v>
      </c>
      <c r="B16" s="11" t="s">
        <v>5</v>
      </c>
      <c r="C16" s="43">
        <v>412500</v>
      </c>
      <c r="D16" s="12"/>
      <c r="E16" s="43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">
      <c r="A17" s="10" t="s">
        <v>57</v>
      </c>
      <c r="B17" s="11" t="s">
        <v>5</v>
      </c>
      <c r="C17" s="43">
        <v>487500</v>
      </c>
      <c r="D17" s="12"/>
      <c r="E17" s="43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58</v>
      </c>
      <c r="B18" s="11" t="s">
        <v>5</v>
      </c>
      <c r="C18" s="43">
        <v>562500</v>
      </c>
      <c r="D18" s="12"/>
      <c r="E18" s="43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">
      <c r="A19" s="9" t="s">
        <v>6</v>
      </c>
      <c r="B19" s="7"/>
      <c r="C19" s="44"/>
      <c r="D19" s="12"/>
      <c r="E19" s="43"/>
    </row>
    <row r="20" spans="1:14" ht="22.5" customHeight="1" x14ac:dyDescent="0.15">
      <c r="A20" s="10" t="s">
        <v>51</v>
      </c>
      <c r="B20" s="11" t="s">
        <v>5</v>
      </c>
      <c r="C20" s="43">
        <v>750000</v>
      </c>
      <c r="D20" s="12">
        <v>4</v>
      </c>
      <c r="E20" s="43">
        <f t="shared" si="0"/>
        <v>3000000</v>
      </c>
    </row>
    <row r="21" spans="1:14" ht="22.5" customHeight="1" x14ac:dyDescent="0.15">
      <c r="A21" s="10" t="s">
        <v>52</v>
      </c>
      <c r="B21" s="11" t="s">
        <v>5</v>
      </c>
      <c r="C21" s="43">
        <v>950000</v>
      </c>
      <c r="D21" s="12">
        <v>1</v>
      </c>
      <c r="E21" s="43">
        <f t="shared" si="0"/>
        <v>950000</v>
      </c>
    </row>
    <row r="22" spans="1:14" ht="22.5" customHeight="1" x14ac:dyDescent="0.15">
      <c r="A22" s="10" t="s">
        <v>53</v>
      </c>
      <c r="B22" s="11" t="s">
        <v>5</v>
      </c>
      <c r="C22" s="43">
        <v>300000</v>
      </c>
      <c r="D22" s="12"/>
      <c r="E22" s="43">
        <f t="shared" si="0"/>
        <v>0</v>
      </c>
    </row>
    <row r="23" spans="1:14" ht="22.5" customHeight="1" x14ac:dyDescent="0.2">
      <c r="A23" s="6" t="s">
        <v>7</v>
      </c>
      <c r="B23" s="7"/>
      <c r="C23" s="44"/>
      <c r="D23" s="12"/>
      <c r="E23" s="43"/>
    </row>
    <row r="24" spans="1:14" ht="22.5" customHeight="1" x14ac:dyDescent="0.2">
      <c r="A24" s="9" t="s">
        <v>8</v>
      </c>
      <c r="B24" s="7"/>
      <c r="C24" s="44"/>
      <c r="D24" s="12"/>
      <c r="E24" s="43"/>
    </row>
    <row r="25" spans="1:14" ht="22.5" customHeight="1" x14ac:dyDescent="0.15">
      <c r="A25" s="10" t="s">
        <v>49</v>
      </c>
      <c r="B25" s="11" t="s">
        <v>9</v>
      </c>
      <c r="C25" s="43">
        <v>75000</v>
      </c>
      <c r="D25" s="12">
        <f>D2</f>
        <v>11</v>
      </c>
      <c r="E25" s="43">
        <f t="shared" si="0"/>
        <v>825000</v>
      </c>
    </row>
    <row r="26" spans="1:14" ht="22.5" customHeight="1" x14ac:dyDescent="0.15">
      <c r="A26" s="13" t="s">
        <v>10</v>
      </c>
      <c r="B26" s="11" t="s">
        <v>9</v>
      </c>
      <c r="C26" s="43">
        <v>55000</v>
      </c>
      <c r="D26" s="12"/>
      <c r="E26" s="43">
        <f t="shared" si="0"/>
        <v>0</v>
      </c>
    </row>
    <row r="27" spans="1:14" ht="22.5" customHeight="1" x14ac:dyDescent="0.15">
      <c r="A27" s="10" t="s">
        <v>11</v>
      </c>
      <c r="B27" s="11" t="s">
        <v>9</v>
      </c>
      <c r="C27" s="43">
        <v>25000</v>
      </c>
      <c r="D27" s="12">
        <f>D2</f>
        <v>11</v>
      </c>
      <c r="E27" s="43">
        <f t="shared" si="0"/>
        <v>275000</v>
      </c>
    </row>
    <row r="28" spans="1:14" ht="22.5" customHeight="1" x14ac:dyDescent="0.15">
      <c r="A28" s="10" t="s">
        <v>66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14" ht="22.5" customHeight="1" x14ac:dyDescent="0.15">
      <c r="A29" s="13" t="s">
        <v>86</v>
      </c>
      <c r="B29" s="11" t="s">
        <v>9</v>
      </c>
      <c r="C29" s="43">
        <v>65000</v>
      </c>
      <c r="D29" s="12"/>
      <c r="E29" s="43">
        <f t="shared" si="0"/>
        <v>0</v>
      </c>
    </row>
    <row r="30" spans="1:14" ht="22.5" customHeight="1" x14ac:dyDescent="0.15">
      <c r="A30" s="13" t="s">
        <v>87</v>
      </c>
      <c r="B30" s="11" t="s">
        <v>9</v>
      </c>
      <c r="C30" s="43">
        <v>65000</v>
      </c>
      <c r="D30" s="12"/>
      <c r="E30" s="43">
        <f t="shared" si="0"/>
        <v>0</v>
      </c>
    </row>
    <row r="31" spans="1:14" ht="22.5" customHeight="1" x14ac:dyDescent="0.15">
      <c r="A31" s="10" t="s">
        <v>46</v>
      </c>
      <c r="B31" s="11" t="s">
        <v>9</v>
      </c>
      <c r="C31" s="43">
        <v>60000</v>
      </c>
      <c r="D31" s="12">
        <f>D2</f>
        <v>11</v>
      </c>
      <c r="E31" s="43">
        <f t="shared" si="0"/>
        <v>660000</v>
      </c>
    </row>
    <row r="32" spans="1:14" ht="22.5" customHeight="1" x14ac:dyDescent="0.15">
      <c r="A32" s="10" t="s">
        <v>47</v>
      </c>
      <c r="B32" s="11" t="s">
        <v>9</v>
      </c>
      <c r="C32" s="43">
        <v>60000</v>
      </c>
      <c r="D32" s="12"/>
      <c r="E32" s="43">
        <f t="shared" si="0"/>
        <v>0</v>
      </c>
    </row>
    <row r="33" spans="1:5" ht="22.5" customHeight="1" x14ac:dyDescent="0.15">
      <c r="A33" s="13" t="s">
        <v>12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2">
      <c r="A34" s="9" t="s">
        <v>13</v>
      </c>
      <c r="B34" s="7"/>
      <c r="C34" s="45"/>
      <c r="D34" s="12"/>
      <c r="E34" s="43"/>
    </row>
    <row r="35" spans="1:5" ht="22.5" customHeight="1" x14ac:dyDescent="0.15">
      <c r="A35" s="10" t="s">
        <v>48</v>
      </c>
      <c r="B35" s="11" t="s">
        <v>9</v>
      </c>
      <c r="C35" s="43">
        <v>160000</v>
      </c>
      <c r="D35" s="12">
        <f>D2</f>
        <v>11</v>
      </c>
      <c r="E35" s="43">
        <f t="shared" si="0"/>
        <v>1760000</v>
      </c>
    </row>
    <row r="36" spans="1:5" ht="22.5" customHeight="1" x14ac:dyDescent="0.15">
      <c r="A36" s="13" t="s">
        <v>14</v>
      </c>
      <c r="B36" s="11" t="s">
        <v>9</v>
      </c>
      <c r="C36" s="43">
        <v>500000</v>
      </c>
      <c r="D36" s="12">
        <f>ROUNDUP(D2/4,0)</f>
        <v>3</v>
      </c>
      <c r="E36" s="43">
        <f t="shared" si="0"/>
        <v>1500000</v>
      </c>
    </row>
    <row r="37" spans="1:5" ht="22.5" customHeight="1" x14ac:dyDescent="0.2">
      <c r="A37" s="15" t="s">
        <v>15</v>
      </c>
      <c r="B37" s="7"/>
      <c r="C37" s="45"/>
      <c r="D37" s="12"/>
      <c r="E37" s="43"/>
    </row>
    <row r="38" spans="1:5" ht="22.5" customHeight="1" x14ac:dyDescent="0.15">
      <c r="A38" s="13" t="s">
        <v>16</v>
      </c>
      <c r="B38" s="11" t="s">
        <v>9</v>
      </c>
      <c r="C38" s="43">
        <v>90000</v>
      </c>
      <c r="D38" s="12">
        <f>D2</f>
        <v>11</v>
      </c>
      <c r="E38" s="43">
        <f t="shared" si="0"/>
        <v>990000</v>
      </c>
    </row>
    <row r="39" spans="1:5" ht="22.5" customHeight="1" x14ac:dyDescent="0.15">
      <c r="A39" s="10" t="s">
        <v>65</v>
      </c>
      <c r="B39" s="11" t="s">
        <v>5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6" t="s">
        <v>17</v>
      </c>
      <c r="B40" s="7"/>
      <c r="C40" s="44"/>
      <c r="D40" s="12"/>
      <c r="E40" s="43"/>
    </row>
    <row r="41" spans="1:5" ht="22.5" customHeight="1" x14ac:dyDescent="0.2">
      <c r="A41" s="9" t="s">
        <v>18</v>
      </c>
      <c r="B41" s="7"/>
      <c r="C41" s="44"/>
      <c r="D41" s="12"/>
      <c r="E41" s="43"/>
    </row>
    <row r="42" spans="1:5" ht="22.5" customHeight="1" x14ac:dyDescent="0.15">
      <c r="A42" s="13" t="s">
        <v>19</v>
      </c>
      <c r="B42" s="11" t="s">
        <v>20</v>
      </c>
      <c r="C42" s="43">
        <v>450000</v>
      </c>
      <c r="D42" s="12">
        <f>IF($D$2=1,$C$2, IF($D$2=2,$C$2,0))</f>
        <v>0</v>
      </c>
      <c r="E42" s="43">
        <f t="shared" ref="E42:E68" si="1">C42*D42</f>
        <v>0</v>
      </c>
    </row>
    <row r="43" spans="1:5" ht="22.5" customHeight="1" x14ac:dyDescent="0.15">
      <c r="A43" s="13" t="s">
        <v>21</v>
      </c>
      <c r="B43" s="11" t="s">
        <v>20</v>
      </c>
      <c r="C43" s="43">
        <v>550000</v>
      </c>
      <c r="D43" s="12">
        <f>IF($D$2=3,$C$2, 0)</f>
        <v>0</v>
      </c>
      <c r="E43" s="43">
        <f t="shared" si="1"/>
        <v>0</v>
      </c>
    </row>
    <row r="44" spans="1:5" ht="22.5" customHeight="1" x14ac:dyDescent="0.15">
      <c r="A44" s="10" t="s">
        <v>22</v>
      </c>
      <c r="B44" s="11" t="s">
        <v>20</v>
      </c>
      <c r="C44" s="43">
        <v>1100000</v>
      </c>
      <c r="D44" s="12">
        <f>IF((($D$2&gt;=4)*($D$2&lt;=11))=1,$C$2,0)</f>
        <v>3</v>
      </c>
      <c r="E44" s="43">
        <f t="shared" si="1"/>
        <v>3300000</v>
      </c>
    </row>
    <row r="45" spans="1:5" ht="22.5" customHeight="1" x14ac:dyDescent="0.15">
      <c r="A45" s="13" t="s">
        <v>23</v>
      </c>
      <c r="B45" s="11" t="s">
        <v>20</v>
      </c>
      <c r="C45" s="43">
        <v>1300000</v>
      </c>
      <c r="D45" s="12"/>
      <c r="E45" s="43">
        <f t="shared" si="1"/>
        <v>0</v>
      </c>
    </row>
    <row r="46" spans="1:5" ht="22.5" customHeight="1" x14ac:dyDescent="0.15">
      <c r="A46" s="10" t="s">
        <v>81</v>
      </c>
      <c r="B46" s="11" t="s">
        <v>20</v>
      </c>
      <c r="C46" s="43">
        <v>650000</v>
      </c>
      <c r="D46" s="12">
        <f>IF((($D$2&gt;=10)*($D$2&lt;=11))=1,3,0)</f>
        <v>3</v>
      </c>
      <c r="E46" s="43">
        <f t="shared" si="1"/>
        <v>1950000</v>
      </c>
    </row>
    <row r="47" spans="1:5" ht="22.5" customHeight="1" x14ac:dyDescent="0.2">
      <c r="A47" s="9" t="s">
        <v>24</v>
      </c>
      <c r="B47" s="7"/>
      <c r="C47" s="44"/>
      <c r="D47" s="12"/>
      <c r="E47" s="43"/>
    </row>
    <row r="48" spans="1:5" ht="22.5" customHeight="1" x14ac:dyDescent="0.15">
      <c r="A48" s="13" t="s">
        <v>25</v>
      </c>
      <c r="B48" s="11" t="s">
        <v>5</v>
      </c>
      <c r="C48" s="43">
        <v>200000</v>
      </c>
      <c r="D48" s="12">
        <f>IF((($D$2&gt;=10)*($D$2&lt;=11))=1,2,1)</f>
        <v>2</v>
      </c>
      <c r="E48" s="43">
        <f t="shared" si="1"/>
        <v>400000</v>
      </c>
    </row>
    <row r="49" spans="1:5" ht="22.5" customHeight="1" x14ac:dyDescent="0.15">
      <c r="A49" s="10" t="s">
        <v>59</v>
      </c>
      <c r="B49" s="11" t="s">
        <v>5</v>
      </c>
      <c r="C49" s="43">
        <v>300000</v>
      </c>
      <c r="D49" s="12"/>
      <c r="E49" s="43">
        <f t="shared" si="1"/>
        <v>0</v>
      </c>
    </row>
    <row r="50" spans="1:5" ht="22.5" customHeight="1" x14ac:dyDescent="0.2">
      <c r="A50" s="9" t="s">
        <v>26</v>
      </c>
      <c r="B50" s="7"/>
      <c r="C50" s="44"/>
      <c r="D50" s="12"/>
      <c r="E50" s="43">
        <f t="shared" si="1"/>
        <v>0</v>
      </c>
    </row>
    <row r="51" spans="1:5" ht="22.5" customHeight="1" x14ac:dyDescent="0.15">
      <c r="A51" s="13" t="s">
        <v>27</v>
      </c>
      <c r="B51" s="11" t="s">
        <v>28</v>
      </c>
      <c r="C51" s="43">
        <v>200000</v>
      </c>
      <c r="D51" s="12"/>
      <c r="E51" s="43">
        <f t="shared" si="1"/>
        <v>0</v>
      </c>
    </row>
    <row r="52" spans="1:5" ht="22.5" customHeight="1" x14ac:dyDescent="0.2">
      <c r="A52" s="15" t="s">
        <v>64</v>
      </c>
      <c r="B52" s="7"/>
      <c r="C52" s="44"/>
      <c r="D52" s="12"/>
      <c r="E52" s="43">
        <f t="shared" si="1"/>
        <v>0</v>
      </c>
    </row>
    <row r="53" spans="1:5" ht="22.5" customHeight="1" x14ac:dyDescent="0.15">
      <c r="A53" s="10" t="s">
        <v>82</v>
      </c>
      <c r="B53" s="11" t="s">
        <v>28</v>
      </c>
      <c r="C53" s="43">
        <v>700000</v>
      </c>
      <c r="D53" s="12">
        <f>IF((($D$2&gt;=1)*($D$2&lt;=3))=1,1,0)</f>
        <v>0</v>
      </c>
      <c r="E53" s="43">
        <f t="shared" si="1"/>
        <v>0</v>
      </c>
    </row>
    <row r="54" spans="1:5" ht="22.5" customHeight="1" x14ac:dyDescent="0.15">
      <c r="A54" s="10" t="s">
        <v>83</v>
      </c>
      <c r="B54" s="11" t="s">
        <v>28</v>
      </c>
      <c r="C54" s="43">
        <v>1100000</v>
      </c>
      <c r="D54" s="12">
        <f>IF((($D$2&gt;=4)*($D$2&lt;=11))=1,1,0)</f>
        <v>1</v>
      </c>
      <c r="E54" s="43">
        <f t="shared" si="1"/>
        <v>1100000</v>
      </c>
    </row>
    <row r="55" spans="1:5" ht="22.5" customHeight="1" x14ac:dyDescent="0.2">
      <c r="A55" s="16" t="s">
        <v>29</v>
      </c>
      <c r="B55" s="7"/>
      <c r="C55" s="44"/>
      <c r="D55" s="12"/>
      <c r="E55" s="43">
        <f t="shared" si="1"/>
        <v>0</v>
      </c>
    </row>
    <row r="56" spans="1:5" ht="22.5" customHeight="1" x14ac:dyDescent="0.2">
      <c r="A56" s="9" t="s">
        <v>30</v>
      </c>
      <c r="B56" s="7"/>
      <c r="C56" s="44"/>
      <c r="D56" s="12"/>
      <c r="E56" s="43">
        <f t="shared" si="1"/>
        <v>0</v>
      </c>
    </row>
    <row r="57" spans="1:5" ht="22.5" customHeight="1" x14ac:dyDescent="0.15">
      <c r="A57" s="13" t="s">
        <v>31</v>
      </c>
      <c r="B57" s="11" t="s">
        <v>20</v>
      </c>
      <c r="C57" s="43">
        <v>250000</v>
      </c>
      <c r="D57" s="12">
        <f>IF((($D$2&gt;=1)*($D$2&lt;=3))=1,$C$2,0)</f>
        <v>0</v>
      </c>
      <c r="E57" s="43">
        <f t="shared" si="1"/>
        <v>0</v>
      </c>
    </row>
    <row r="58" spans="1:5" ht="22.5" customHeight="1" x14ac:dyDescent="0.15">
      <c r="A58" s="10" t="s">
        <v>60</v>
      </c>
      <c r="B58" s="11" t="s">
        <v>20</v>
      </c>
      <c r="C58" s="43">
        <v>250000</v>
      </c>
      <c r="D58" s="12">
        <f>IF((($D$2&gt;=4)*($D$2&lt;=11))=1,$C$2,0)</f>
        <v>3</v>
      </c>
      <c r="E58" s="43">
        <f t="shared" si="1"/>
        <v>750000</v>
      </c>
    </row>
    <row r="59" spans="1:5" ht="22.5" customHeight="1" x14ac:dyDescent="0.15">
      <c r="A59" s="10" t="s">
        <v>61</v>
      </c>
      <c r="B59" s="11" t="s">
        <v>20</v>
      </c>
      <c r="C59" s="43">
        <v>200000</v>
      </c>
      <c r="D59" s="12"/>
      <c r="E59" s="43">
        <f t="shared" si="1"/>
        <v>0</v>
      </c>
    </row>
    <row r="60" spans="1:5" ht="22.5" customHeight="1" x14ac:dyDescent="0.2">
      <c r="A60" s="16" t="s">
        <v>32</v>
      </c>
      <c r="B60" s="7"/>
      <c r="C60" s="44"/>
      <c r="D60" s="12"/>
      <c r="E60" s="43">
        <f t="shared" si="1"/>
        <v>0</v>
      </c>
    </row>
    <row r="61" spans="1:5" ht="22.5" customHeight="1" x14ac:dyDescent="0.2">
      <c r="A61" s="9" t="s">
        <v>33</v>
      </c>
      <c r="B61" s="7"/>
      <c r="C61" s="44"/>
      <c r="D61" s="12"/>
      <c r="E61" s="43">
        <f t="shared" si="1"/>
        <v>0</v>
      </c>
    </row>
    <row r="62" spans="1:5" ht="22.5" customHeight="1" x14ac:dyDescent="0.15">
      <c r="A62" s="13" t="s">
        <v>34</v>
      </c>
      <c r="B62" s="11" t="s">
        <v>73</v>
      </c>
      <c r="C62" s="43">
        <v>50000</v>
      </c>
      <c r="D62" s="12">
        <f>ROUNDUP(D2*C2*3/24,0)</f>
        <v>5</v>
      </c>
      <c r="E62" s="43">
        <f t="shared" si="1"/>
        <v>250000</v>
      </c>
    </row>
    <row r="63" spans="1:5" ht="22.5" customHeight="1" x14ac:dyDescent="0.15">
      <c r="A63" s="13" t="s">
        <v>36</v>
      </c>
      <c r="B63" s="11" t="s">
        <v>35</v>
      </c>
      <c r="C63" s="43">
        <v>100000</v>
      </c>
      <c r="D63" s="12">
        <v>1</v>
      </c>
      <c r="E63" s="43">
        <f t="shared" si="1"/>
        <v>100000</v>
      </c>
    </row>
    <row r="64" spans="1:5" ht="22.5" customHeight="1" x14ac:dyDescent="0.15">
      <c r="A64" s="13" t="s">
        <v>37</v>
      </c>
      <c r="B64" s="11" t="s">
        <v>9</v>
      </c>
      <c r="C64" s="43">
        <v>60000</v>
      </c>
      <c r="D64" s="12">
        <f>D2</f>
        <v>11</v>
      </c>
      <c r="E64" s="43">
        <f t="shared" si="1"/>
        <v>660000</v>
      </c>
    </row>
    <row r="65" spans="1:5" ht="22.5" customHeight="1" x14ac:dyDescent="0.2">
      <c r="A65" s="9" t="s">
        <v>38</v>
      </c>
      <c r="B65" s="7"/>
      <c r="C65" s="14"/>
      <c r="D65" s="12"/>
      <c r="E65" s="43">
        <f t="shared" si="1"/>
        <v>0</v>
      </c>
    </row>
    <row r="66" spans="1:5" ht="22.5" customHeight="1" x14ac:dyDescent="0.15">
      <c r="A66" s="13" t="s">
        <v>39</v>
      </c>
      <c r="B66" s="11" t="s">
        <v>28</v>
      </c>
      <c r="C66" s="12">
        <v>2000000</v>
      </c>
      <c r="D66" s="12"/>
      <c r="E66" s="43">
        <f t="shared" si="1"/>
        <v>0</v>
      </c>
    </row>
    <row r="67" spans="1:5" ht="22.5" customHeight="1" x14ac:dyDescent="0.2">
      <c r="A67" s="9" t="s">
        <v>40</v>
      </c>
      <c r="B67" s="7"/>
      <c r="C67" s="14"/>
      <c r="D67" s="12"/>
      <c r="E67" s="43">
        <f t="shared" si="1"/>
        <v>0</v>
      </c>
    </row>
    <row r="68" spans="1:5" ht="22.5" customHeight="1" x14ac:dyDescent="0.15">
      <c r="A68" s="13" t="s">
        <v>41</v>
      </c>
      <c r="B68" s="11" t="s">
        <v>9</v>
      </c>
      <c r="C68" s="12">
        <v>16000</v>
      </c>
      <c r="D68" s="12">
        <f>D2</f>
        <v>11</v>
      </c>
      <c r="E68" s="43">
        <f t="shared" si="1"/>
        <v>176000</v>
      </c>
    </row>
    <row r="69" spans="1:5" ht="22.5" customHeight="1" x14ac:dyDescent="0.15">
      <c r="A69" s="10" t="s">
        <v>50</v>
      </c>
      <c r="B69" s="11" t="s">
        <v>5</v>
      </c>
      <c r="C69" s="12">
        <v>100000</v>
      </c>
      <c r="D69" s="12">
        <v>1</v>
      </c>
      <c r="E69" s="43">
        <f>C69*D69</f>
        <v>100000</v>
      </c>
    </row>
    <row r="70" spans="1:5" s="1" customFormat="1" ht="30" customHeight="1" x14ac:dyDescent="0.15">
      <c r="A70" s="18" t="s">
        <v>74</v>
      </c>
      <c r="B70" s="17"/>
      <c r="C70" s="5"/>
      <c r="D70" s="12"/>
      <c r="E70" s="46">
        <f>SUM(E7:E69)</f>
        <v>21846000</v>
      </c>
    </row>
    <row r="71" spans="1:5" ht="36" customHeight="1" x14ac:dyDescent="0.15">
      <c r="A71" s="18" t="s">
        <v>78</v>
      </c>
      <c r="B71" s="8"/>
      <c r="C71" s="8"/>
      <c r="D71" s="8"/>
      <c r="E71" s="46">
        <f>E70/D2</f>
        <v>1986000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2025-08-17T05:19:39Z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