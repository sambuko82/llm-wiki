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4eef56aa7984708/New folder (2)/REBUILD/PACKAGE/JVTO/Expense/"/>
    </mc:Choice>
  </mc:AlternateContent>
  <xr:revisionPtr revIDLastSave="788" documentId="8_{49DE2DE6-D929-4DA0-BB4F-4F6EC9A2F1B6}" xr6:coauthVersionLast="47" xr6:coauthVersionMax="47" xr10:uidLastSave="{4D6A62CE-84B0-472F-8A3D-5959870AC1ED}"/>
  <bookViews>
    <workbookView xWindow="-105" yWindow="0" windowWidth="19410" windowHeight="15585" firstSheet="1" activeTab="9" xr2:uid="{00000000-000D-0000-FFFF-FFFF00000000}"/>
  </bookViews>
  <sheets>
    <sheet name="Summary" sheetId="3" r:id="rId1"/>
    <sheet name="1 pax" sheetId="17" r:id="rId2"/>
    <sheet name="2 Pax" sheetId="6" r:id="rId3"/>
    <sheet name="3 Pax" sheetId="7" r:id="rId4"/>
    <sheet name="4 Pax" sheetId="8" r:id="rId5"/>
    <sheet name="5 Pax" sheetId="9" r:id="rId6"/>
    <sheet name="6 Pax" sheetId="10" r:id="rId7"/>
    <sheet name="7 Pax" sheetId="11" r:id="rId8"/>
    <sheet name="8 Pax" sheetId="12" r:id="rId9"/>
    <sheet name="9 Pax" sheetId="13" r:id="rId10"/>
    <sheet name="10 Pax" sheetId="14" r:id="rId11"/>
    <sheet name="11 Pax" sheetId="15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5" l="1"/>
  <c r="E15" i="15" s="1"/>
  <c r="D13" i="14"/>
  <c r="E13" i="14" s="1"/>
  <c r="D15" i="13"/>
  <c r="D13" i="12"/>
  <c r="E13" i="12" s="1"/>
  <c r="D15" i="11"/>
  <c r="E15" i="11" s="1"/>
  <c r="D13" i="10"/>
  <c r="D15" i="9"/>
  <c r="E15" i="9" s="1"/>
  <c r="D13" i="8"/>
  <c r="E13" i="8" s="1"/>
  <c r="D13" i="7"/>
  <c r="E13" i="7" s="1"/>
  <c r="D13" i="6"/>
  <c r="E13" i="6" s="1"/>
  <c r="E5" i="3"/>
  <c r="D13" i="17"/>
  <c r="E13" i="17" s="1"/>
  <c r="D36" i="17"/>
  <c r="E36" i="17" s="1"/>
  <c r="E35" i="17"/>
  <c r="D34" i="17"/>
  <c r="E34" i="17" s="1"/>
  <c r="E33" i="17"/>
  <c r="E32" i="17"/>
  <c r="D31" i="17"/>
  <c r="E31" i="17" s="1"/>
  <c r="E30" i="17"/>
  <c r="E29" i="17"/>
  <c r="D28" i="17"/>
  <c r="E28" i="17" s="1"/>
  <c r="D26" i="17"/>
  <c r="E26" i="17" s="1"/>
  <c r="E23" i="17"/>
  <c r="D22" i="17"/>
  <c r="E22" i="17" s="1"/>
  <c r="D20" i="17"/>
  <c r="E20" i="17" s="1"/>
  <c r="D19" i="17"/>
  <c r="E19" i="17" s="1"/>
  <c r="D17" i="17"/>
  <c r="E17" i="17" s="1"/>
  <c r="D16" i="17"/>
  <c r="E16" i="17" s="1"/>
  <c r="D15" i="17"/>
  <c r="E15" i="17" s="1"/>
  <c r="D14" i="17"/>
  <c r="E14" i="17" s="1"/>
  <c r="D12" i="17"/>
  <c r="E12" i="17" s="1"/>
  <c r="D9" i="17"/>
  <c r="E9" i="17" s="1"/>
  <c r="D7" i="17"/>
  <c r="E7" i="17" s="1"/>
  <c r="D39" i="15"/>
  <c r="E39" i="15" s="1"/>
  <c r="E38" i="15"/>
  <c r="D37" i="15"/>
  <c r="E37" i="15" s="1"/>
  <c r="E36" i="15"/>
  <c r="E35" i="15"/>
  <c r="D34" i="15"/>
  <c r="E34" i="15" s="1"/>
  <c r="E33" i="15"/>
  <c r="E32" i="15"/>
  <c r="D31" i="15"/>
  <c r="E31" i="15" s="1"/>
  <c r="C29" i="15"/>
  <c r="E29" i="15" s="1"/>
  <c r="D28" i="15"/>
  <c r="E28" i="15" s="1"/>
  <c r="E25" i="15"/>
  <c r="D24" i="15"/>
  <c r="E24" i="15" s="1"/>
  <c r="D22" i="15"/>
  <c r="E22" i="15" s="1"/>
  <c r="D21" i="15"/>
  <c r="E21" i="15" s="1"/>
  <c r="D19" i="15"/>
  <c r="E19" i="15" s="1"/>
  <c r="D18" i="15"/>
  <c r="E18" i="15" s="1"/>
  <c r="D17" i="15"/>
  <c r="E17" i="15" s="1"/>
  <c r="D16" i="15"/>
  <c r="E16" i="15" s="1"/>
  <c r="D14" i="15"/>
  <c r="E14" i="15" s="1"/>
  <c r="E11" i="15"/>
  <c r="E10" i="15"/>
  <c r="E8" i="15"/>
  <c r="E7" i="15"/>
  <c r="C27" i="14"/>
  <c r="E27" i="14" s="1"/>
  <c r="D37" i="14"/>
  <c r="E37" i="14" s="1"/>
  <c r="E36" i="14"/>
  <c r="D35" i="14"/>
  <c r="E35" i="14" s="1"/>
  <c r="E34" i="14"/>
  <c r="E33" i="14"/>
  <c r="D32" i="14"/>
  <c r="E32" i="14" s="1"/>
  <c r="E31" i="14"/>
  <c r="E30" i="14"/>
  <c r="D29" i="14"/>
  <c r="E29" i="14" s="1"/>
  <c r="D26" i="14"/>
  <c r="E26" i="14" s="1"/>
  <c r="E23" i="14"/>
  <c r="D22" i="14"/>
  <c r="E22" i="14" s="1"/>
  <c r="D20" i="14"/>
  <c r="E20" i="14" s="1"/>
  <c r="D19" i="14"/>
  <c r="E19" i="14" s="1"/>
  <c r="D17" i="14"/>
  <c r="E17" i="14" s="1"/>
  <c r="D16" i="14"/>
  <c r="E16" i="14" s="1"/>
  <c r="D15" i="14"/>
  <c r="E15" i="14" s="1"/>
  <c r="D14" i="14"/>
  <c r="E14" i="14" s="1"/>
  <c r="D12" i="14"/>
  <c r="E12" i="14" s="1"/>
  <c r="E11" i="14"/>
  <c r="E10" i="14"/>
  <c r="E9" i="14"/>
  <c r="E7" i="14"/>
  <c r="D38" i="13"/>
  <c r="E38" i="13" s="1"/>
  <c r="E37" i="13"/>
  <c r="D36" i="13"/>
  <c r="E36" i="13" s="1"/>
  <c r="E35" i="13"/>
  <c r="E34" i="13"/>
  <c r="D33" i="13"/>
  <c r="E33" i="13" s="1"/>
  <c r="E32" i="13"/>
  <c r="E31" i="13"/>
  <c r="D30" i="13"/>
  <c r="E30" i="13" s="1"/>
  <c r="D28" i="13"/>
  <c r="E28" i="13" s="1"/>
  <c r="E25" i="13"/>
  <c r="D24" i="13"/>
  <c r="E24" i="13" s="1"/>
  <c r="D22" i="13"/>
  <c r="E22" i="13" s="1"/>
  <c r="D21" i="13"/>
  <c r="E21" i="13" s="1"/>
  <c r="D19" i="13"/>
  <c r="E19" i="13" s="1"/>
  <c r="D18" i="13"/>
  <c r="E18" i="13" s="1"/>
  <c r="D17" i="13"/>
  <c r="E17" i="13" s="1"/>
  <c r="D16" i="13"/>
  <c r="E16" i="13" s="1"/>
  <c r="E15" i="13"/>
  <c r="D14" i="13"/>
  <c r="E14" i="13" s="1"/>
  <c r="E13" i="13"/>
  <c r="E12" i="13"/>
  <c r="E11" i="13"/>
  <c r="E10" i="13"/>
  <c r="E8" i="13"/>
  <c r="E7" i="13"/>
  <c r="D36" i="12"/>
  <c r="E36" i="12" s="1"/>
  <c r="E35" i="12"/>
  <c r="D34" i="12"/>
  <c r="E34" i="12" s="1"/>
  <c r="E33" i="12"/>
  <c r="E32" i="12"/>
  <c r="D31" i="12"/>
  <c r="E31" i="12" s="1"/>
  <c r="E30" i="12"/>
  <c r="E29" i="12"/>
  <c r="D28" i="12"/>
  <c r="E28" i="12" s="1"/>
  <c r="D26" i="12"/>
  <c r="E26" i="12" s="1"/>
  <c r="E23" i="12"/>
  <c r="D22" i="12"/>
  <c r="E22" i="12" s="1"/>
  <c r="D20" i="12"/>
  <c r="E20" i="12" s="1"/>
  <c r="D19" i="12"/>
  <c r="E19" i="12" s="1"/>
  <c r="D17" i="12"/>
  <c r="E17" i="12" s="1"/>
  <c r="D16" i="12"/>
  <c r="E16" i="12" s="1"/>
  <c r="D15" i="12"/>
  <c r="E15" i="12" s="1"/>
  <c r="D14" i="12"/>
  <c r="E14" i="12" s="1"/>
  <c r="D12" i="12"/>
  <c r="E12" i="12" s="1"/>
  <c r="E11" i="12"/>
  <c r="E10" i="12"/>
  <c r="E9" i="12"/>
  <c r="E7" i="12"/>
  <c r="D37" i="11"/>
  <c r="E37" i="11" s="1"/>
  <c r="E36" i="11"/>
  <c r="D35" i="11"/>
  <c r="E35" i="11" s="1"/>
  <c r="E34" i="11"/>
  <c r="E33" i="11"/>
  <c r="D32" i="11"/>
  <c r="E32" i="11" s="1"/>
  <c r="E31" i="11"/>
  <c r="D30" i="11"/>
  <c r="E30" i="11" s="1"/>
  <c r="D28" i="11"/>
  <c r="E28" i="11" s="1"/>
  <c r="E25" i="11"/>
  <c r="D24" i="11"/>
  <c r="E24" i="11" s="1"/>
  <c r="D22" i="11"/>
  <c r="E22" i="11" s="1"/>
  <c r="D21" i="11"/>
  <c r="E21" i="11" s="1"/>
  <c r="D19" i="11"/>
  <c r="E19" i="11" s="1"/>
  <c r="D18" i="11"/>
  <c r="E18" i="11" s="1"/>
  <c r="D17" i="11"/>
  <c r="E17" i="11" s="1"/>
  <c r="D16" i="11"/>
  <c r="E16" i="11" s="1"/>
  <c r="D14" i="11"/>
  <c r="E14" i="11" s="1"/>
  <c r="E13" i="11"/>
  <c r="E12" i="11"/>
  <c r="E11" i="11"/>
  <c r="E10" i="11"/>
  <c r="E8" i="11"/>
  <c r="E7" i="11"/>
  <c r="D9" i="10"/>
  <c r="E9" i="10" s="1"/>
  <c r="D7" i="10"/>
  <c r="E7" i="10" s="1"/>
  <c r="D36" i="10"/>
  <c r="E36" i="10" s="1"/>
  <c r="E35" i="10"/>
  <c r="D34" i="10"/>
  <c r="E34" i="10" s="1"/>
  <c r="E33" i="10"/>
  <c r="E32" i="10"/>
  <c r="D31" i="10"/>
  <c r="E31" i="10" s="1"/>
  <c r="E30" i="10"/>
  <c r="E29" i="10"/>
  <c r="D28" i="10"/>
  <c r="E28" i="10" s="1"/>
  <c r="D26" i="10"/>
  <c r="E26" i="10" s="1"/>
  <c r="E23" i="10"/>
  <c r="D22" i="10"/>
  <c r="E22" i="10" s="1"/>
  <c r="D20" i="10"/>
  <c r="E20" i="10" s="1"/>
  <c r="D19" i="10"/>
  <c r="E19" i="10" s="1"/>
  <c r="D17" i="10"/>
  <c r="E17" i="10" s="1"/>
  <c r="D16" i="10"/>
  <c r="E16" i="10" s="1"/>
  <c r="D15" i="10"/>
  <c r="E15" i="10" s="1"/>
  <c r="D14" i="10"/>
  <c r="E14" i="10" s="1"/>
  <c r="E13" i="10"/>
  <c r="D12" i="10"/>
  <c r="E12" i="10" s="1"/>
  <c r="E11" i="10"/>
  <c r="E10" i="10"/>
  <c r="D39" i="9"/>
  <c r="E39" i="9" s="1"/>
  <c r="E38" i="9"/>
  <c r="D37" i="9"/>
  <c r="E37" i="9" s="1"/>
  <c r="D34" i="9"/>
  <c r="E34" i="9" s="1"/>
  <c r="D30" i="9"/>
  <c r="E30" i="9" s="1"/>
  <c r="D28" i="9"/>
  <c r="E28" i="9" s="1"/>
  <c r="E25" i="9"/>
  <c r="D24" i="9"/>
  <c r="E24" i="9" s="1"/>
  <c r="D22" i="9"/>
  <c r="E22" i="9" s="1"/>
  <c r="D21" i="9"/>
  <c r="E21" i="9" s="1"/>
  <c r="D19" i="9"/>
  <c r="E19" i="9" s="1"/>
  <c r="D18" i="9"/>
  <c r="E18" i="9" s="1"/>
  <c r="D17" i="9"/>
  <c r="E17" i="9" s="1"/>
  <c r="D16" i="9"/>
  <c r="E16" i="9" s="1"/>
  <c r="D14" i="9"/>
  <c r="E14" i="9" s="1"/>
  <c r="E13" i="9"/>
  <c r="E12" i="9"/>
  <c r="E11" i="9"/>
  <c r="E10" i="9"/>
  <c r="E8" i="9"/>
  <c r="E7" i="9"/>
  <c r="D35" i="8"/>
  <c r="E35" i="8" s="1"/>
  <c r="E34" i="8"/>
  <c r="D33" i="8"/>
  <c r="E33" i="8" s="1"/>
  <c r="D30" i="8"/>
  <c r="E30" i="8" s="1"/>
  <c r="D27" i="8"/>
  <c r="E27" i="8" s="1"/>
  <c r="D25" i="8"/>
  <c r="E25" i="8" s="1"/>
  <c r="E22" i="8"/>
  <c r="D21" i="8"/>
  <c r="E21" i="8" s="1"/>
  <c r="D19" i="8"/>
  <c r="E19" i="8" s="1"/>
  <c r="D18" i="8"/>
  <c r="E18" i="8" s="1"/>
  <c r="D16" i="8"/>
  <c r="E16" i="8" s="1"/>
  <c r="D15" i="8"/>
  <c r="E15" i="8" s="1"/>
  <c r="D14" i="8"/>
  <c r="E14" i="8" s="1"/>
  <c r="D12" i="8"/>
  <c r="E12" i="8" s="1"/>
  <c r="D9" i="8"/>
  <c r="E9" i="8" s="1"/>
  <c r="D7" i="8"/>
  <c r="E7" i="8" s="1"/>
  <c r="E7" i="7"/>
  <c r="D7" i="6"/>
  <c r="E7" i="6" s="1"/>
  <c r="D36" i="7"/>
  <c r="E36" i="7" s="1"/>
  <c r="E35" i="7"/>
  <c r="E34" i="7"/>
  <c r="D31" i="7"/>
  <c r="E31" i="7" s="1"/>
  <c r="D28" i="7"/>
  <c r="E28" i="7" s="1"/>
  <c r="E26" i="7"/>
  <c r="E23" i="7"/>
  <c r="D22" i="7"/>
  <c r="E22" i="7" s="1"/>
  <c r="D20" i="7"/>
  <c r="E20" i="7" s="1"/>
  <c r="D19" i="7"/>
  <c r="E19" i="7" s="1"/>
  <c r="D17" i="7"/>
  <c r="E17" i="7" s="1"/>
  <c r="D16" i="7"/>
  <c r="E16" i="7" s="1"/>
  <c r="D15" i="7"/>
  <c r="E15" i="7" s="1"/>
  <c r="D14" i="7"/>
  <c r="E14" i="7" s="1"/>
  <c r="D12" i="7"/>
  <c r="E12" i="7" s="1"/>
  <c r="E11" i="7"/>
  <c r="E10" i="7"/>
  <c r="E9" i="7"/>
  <c r="D36" i="6"/>
  <c r="E36" i="6" s="1"/>
  <c r="E35" i="6"/>
  <c r="D34" i="6"/>
  <c r="E34" i="6" s="1"/>
  <c r="E33" i="6"/>
  <c r="E32" i="6"/>
  <c r="D31" i="6"/>
  <c r="E31" i="6" s="1"/>
  <c r="E30" i="6"/>
  <c r="E29" i="6"/>
  <c r="D28" i="6"/>
  <c r="E28" i="6" s="1"/>
  <c r="D26" i="6"/>
  <c r="E26" i="6" s="1"/>
  <c r="E23" i="6"/>
  <c r="D22" i="6"/>
  <c r="E22" i="6" s="1"/>
  <c r="D20" i="6"/>
  <c r="E20" i="6" s="1"/>
  <c r="D19" i="6"/>
  <c r="E19" i="6" s="1"/>
  <c r="D17" i="6"/>
  <c r="E17" i="6" s="1"/>
  <c r="D16" i="6"/>
  <c r="E16" i="6" s="1"/>
  <c r="D15" i="6"/>
  <c r="E15" i="6" s="1"/>
  <c r="D14" i="6"/>
  <c r="E14" i="6" s="1"/>
  <c r="D12" i="6"/>
  <c r="E12" i="6" s="1"/>
  <c r="D9" i="6"/>
  <c r="E9" i="6" s="1"/>
  <c r="E6" i="3"/>
  <c r="E7" i="3"/>
  <c r="E8" i="3"/>
  <c r="E9" i="3"/>
  <c r="E10" i="3"/>
  <c r="E11" i="3"/>
  <c r="E12" i="3"/>
  <c r="E13" i="3"/>
  <c r="E14" i="3"/>
  <c r="E15" i="3"/>
  <c r="E37" i="17" l="1"/>
  <c r="E38" i="17" s="1"/>
  <c r="B5" i="3" s="1"/>
  <c r="C5" i="3" s="1"/>
  <c r="F5" i="3" s="1"/>
  <c r="G5" i="3" s="1"/>
  <c r="E40" i="15"/>
  <c r="E41" i="15" s="1"/>
  <c r="B15" i="3" s="1"/>
  <c r="C15" i="3" s="1"/>
  <c r="F15" i="3" s="1"/>
  <c r="G15" i="3" s="1"/>
  <c r="E38" i="14"/>
  <c r="E39" i="14" s="1"/>
  <c r="B14" i="3" s="1"/>
  <c r="C14" i="3" s="1"/>
  <c r="F14" i="3" s="1"/>
  <c r="G14" i="3" s="1"/>
  <c r="E39" i="13"/>
  <c r="E40" i="13" s="1"/>
  <c r="B13" i="3" s="1"/>
  <c r="C13" i="3" s="1"/>
  <c r="F13" i="3" s="1"/>
  <c r="G13" i="3" s="1"/>
  <c r="E37" i="12"/>
  <c r="E38" i="12" s="1"/>
  <c r="B12" i="3" s="1"/>
  <c r="C12" i="3" s="1"/>
  <c r="F12" i="3" s="1"/>
  <c r="G12" i="3" s="1"/>
  <c r="E38" i="11"/>
  <c r="E39" i="11" s="1"/>
  <c r="B11" i="3" s="1"/>
  <c r="C11" i="3" s="1"/>
  <c r="F11" i="3" s="1"/>
  <c r="G11" i="3" s="1"/>
  <c r="E37" i="10"/>
  <c r="E38" i="10" s="1"/>
  <c r="B10" i="3" s="1"/>
  <c r="C10" i="3" s="1"/>
  <c r="F10" i="3" s="1"/>
  <c r="G10" i="3" s="1"/>
  <c r="E40" i="9"/>
  <c r="E41" i="9" s="1"/>
  <c r="B9" i="3" s="1"/>
  <c r="C9" i="3" s="1"/>
  <c r="F9" i="3" s="1"/>
  <c r="G9" i="3" s="1"/>
  <c r="E36" i="8"/>
  <c r="E37" i="8" s="1"/>
  <c r="B8" i="3" s="1"/>
  <c r="C8" i="3" s="1"/>
  <c r="F8" i="3" s="1"/>
  <c r="G8" i="3" s="1"/>
  <c r="E37" i="7"/>
  <c r="E37" i="6"/>
  <c r="E38" i="6" s="1"/>
  <c r="B6" i="3" s="1"/>
  <c r="C6" i="3" s="1"/>
  <c r="F6" i="3" s="1"/>
  <c r="G6" i="3" s="1"/>
  <c r="E38" i="7" l="1"/>
  <c r="B7" i="3" s="1"/>
  <c r="C7" i="3" s="1"/>
  <c r="F7" i="3" s="1"/>
  <c r="G7" i="3" s="1"/>
</calcChain>
</file>

<file path=xl/sharedStrings.xml><?xml version="1.0" encoding="utf-8"?>
<sst xmlns="http://schemas.openxmlformats.org/spreadsheetml/2006/main" count="719" uniqueCount="61">
  <si>
    <t>Package Name</t>
  </si>
  <si>
    <t>ID</t>
  </si>
  <si>
    <t>Duration (Days)</t>
  </si>
  <si>
    <t>No of Pax</t>
  </si>
  <si>
    <r>
      <rPr>
        <b/>
        <sz val="16"/>
        <rFont val="Calibri"/>
        <family val="1"/>
      </rPr>
      <t>Description</t>
    </r>
  </si>
  <si>
    <r>
      <rPr>
        <b/>
        <sz val="16"/>
        <rFont val="Calibri"/>
        <family val="1"/>
      </rPr>
      <t>Unit</t>
    </r>
  </si>
  <si>
    <r>
      <rPr>
        <b/>
        <sz val="16"/>
        <rFont val="Calibri"/>
        <family val="1"/>
      </rPr>
      <t>Rate</t>
    </r>
  </si>
  <si>
    <t>Qty</t>
  </si>
  <si>
    <t>Total</t>
  </si>
  <si>
    <r>
      <rPr>
        <b/>
        <sz val="16"/>
        <rFont val="Calibri"/>
        <family val="1"/>
      </rPr>
      <t>A. Accommodation</t>
    </r>
  </si>
  <si>
    <r>
      <rPr>
        <b/>
        <u/>
        <sz val="16"/>
        <rFont val="Calibri"/>
        <family val="1"/>
      </rPr>
      <t>A1. Ijen</t>
    </r>
  </si>
  <si>
    <r>
      <rPr>
        <sz val="16"/>
        <rFont val="Calibri"/>
        <family val="1"/>
      </rPr>
      <t>No</t>
    </r>
  </si>
  <si>
    <t>Riverside Homestay - Deluxe</t>
  </si>
  <si>
    <t>Riverside Homestay - Family</t>
  </si>
  <si>
    <r>
      <rPr>
        <b/>
        <u/>
        <sz val="16"/>
        <rFont val="Calibri"/>
        <family val="1"/>
      </rPr>
      <t>A2. Bromo </t>
    </r>
  </si>
  <si>
    <t>Joglo Kecombrang - Deluxe</t>
  </si>
  <si>
    <t>Joglo Kecombrang - Family</t>
  </si>
  <si>
    <r>
      <rPr>
        <b/>
        <sz val="16"/>
        <rFont val="Calibri"/>
        <family val="1"/>
      </rPr>
      <t>B. Activities</t>
    </r>
  </si>
  <si>
    <r>
      <rPr>
        <b/>
        <u/>
        <sz val="16"/>
        <rFont val="Calibri"/>
        <family val="1"/>
      </rPr>
      <t>B1. Ijen</t>
    </r>
  </si>
  <si>
    <t>Ijen - Ticket</t>
  </si>
  <si>
    <r>
      <rPr>
        <sz val="16"/>
        <rFont val="Calibri"/>
        <family val="1"/>
      </rPr>
      <t>Pax</t>
    </r>
  </si>
  <si>
    <t>Coffee + Indo Mee</t>
  </si>
  <si>
    <t>Ijen Local Guide</t>
  </si>
  <si>
    <r>
      <rPr>
        <b/>
        <u/>
        <sz val="16"/>
        <rFont val="Calibri"/>
        <family val="1"/>
      </rPr>
      <t>B2. Bromo </t>
    </r>
  </si>
  <si>
    <t>Bromo - Ticket</t>
  </si>
  <si>
    <r>
      <rPr>
        <sz val="16"/>
        <rFont val="Calibri"/>
        <family val="1"/>
      </rPr>
      <t>Bromo - Jeep</t>
    </r>
  </si>
  <si>
    <t>B3. Madakaripura</t>
  </si>
  <si>
    <r>
      <rPr>
        <sz val="16"/>
        <rFont val="Calibri"/>
        <family val="1"/>
      </rPr>
      <t>Motor + Ticket</t>
    </r>
  </si>
  <si>
    <t>Madakaripura Local Guide</t>
  </si>
  <si>
    <t>C. Transportation</t>
  </si>
  <si>
    <r>
      <rPr>
        <b/>
        <u/>
        <sz val="16"/>
        <rFont val="Calibri"/>
        <family val="1"/>
      </rPr>
      <t>C1. Vehicle</t>
    </r>
  </si>
  <si>
    <r>
      <rPr>
        <sz val="16"/>
        <rFont val="Calibri"/>
        <family val="1"/>
      </rPr>
      <t>Avanza</t>
    </r>
  </si>
  <si>
    <r>
      <rPr>
        <sz val="16"/>
        <rFont val="Calibri"/>
        <family val="1"/>
      </rPr>
      <t>Day x Qty</t>
    </r>
  </si>
  <si>
    <t>Toyota Hiace</t>
  </si>
  <si>
    <t>Extra Luggage</t>
  </si>
  <si>
    <r>
      <rPr>
        <b/>
        <u/>
        <sz val="16"/>
        <rFont val="Calibri"/>
        <family val="1"/>
      </rPr>
      <t>C2. Parking and toll</t>
    </r>
  </si>
  <si>
    <r>
      <rPr>
        <sz val="16"/>
        <rFont val="Calibri"/>
        <family val="1"/>
      </rPr>
      <t>Probolingo</t>
    </r>
  </si>
  <si>
    <t>Probolinggo + Malang</t>
  </si>
  <si>
    <t>D. Crews</t>
  </si>
  <si>
    <r>
      <rPr>
        <b/>
        <u/>
        <sz val="16"/>
        <rFont val="Calibri"/>
        <family val="1"/>
      </rPr>
      <t>D1. In house</t>
    </r>
  </si>
  <si>
    <r>
      <rPr>
        <sz val="16"/>
        <rFont val="Calibri"/>
        <family val="1"/>
      </rPr>
      <t>Driver cum guide</t>
    </r>
  </si>
  <si>
    <t>Escort Guide</t>
  </si>
  <si>
    <t>E. Others</t>
  </si>
  <si>
    <r>
      <rPr>
        <b/>
        <u/>
        <sz val="16"/>
        <rFont val="Calibri"/>
        <family val="1"/>
      </rPr>
      <t>E1. Miscelleneous</t>
    </r>
  </si>
  <si>
    <r>
      <rPr>
        <sz val="16"/>
        <rFont val="Calibri"/>
        <family val="1"/>
      </rPr>
      <t>Mineral Water</t>
    </r>
  </si>
  <si>
    <t>Karton</t>
  </si>
  <si>
    <t>Transport allowance</t>
  </si>
  <si>
    <t>Day x Qty</t>
  </si>
  <si>
    <r>
      <rPr>
        <sz val="16"/>
        <rFont val="Calibri"/>
        <family val="1"/>
      </rPr>
      <t>T Shirt</t>
    </r>
  </si>
  <si>
    <t>Total Expense</t>
  </si>
  <si>
    <t>Expense / Pax</t>
  </si>
  <si>
    <t>Pax</t>
  </si>
  <si>
    <t>Harga / Pax</t>
  </si>
  <si>
    <t>Total Harga</t>
  </si>
  <si>
    <t>Margin</t>
  </si>
  <si>
    <t>Presentase Margin</t>
  </si>
  <si>
    <t>Riverside - Lunch</t>
  </si>
  <si>
    <t>Riverside - Dinner</t>
  </si>
  <si>
    <t>Medical Check up</t>
  </si>
  <si>
    <t>3 Day Ijen, Bromo &amp; Madakaripura Waterfall Discovery from Surabaya</t>
  </si>
  <si>
    <t>Price per pax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</si>
</sst>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??_-;_-@_-"/>
    <numFmt numFmtId="165" formatCode="_(* #,##0_);_(* \(#,##0\);_(* &quot;-&quot;??_);_(@_)"/>
  </numFmts>
  <fonts count="20" x14ac:knownFonts="1">
    <font>
      <sz val="10"/>
      <color rgb="FF000000"/>
      <name val="Times New Roman"/>
      <charset val="204"/>
    </font>
    <font>
      <b/>
      <sz val="16"/>
      <name val="Calibri"/>
      <family val="2"/>
    </font>
    <font>
      <b/>
      <sz val="16"/>
      <name val="Calibri"/>
      <family val="1"/>
    </font>
    <font>
      <sz val="16"/>
      <color rgb="FF000000"/>
      <name val="Times New Roman"/>
      <family val="1"/>
    </font>
    <font>
      <b/>
      <u/>
      <sz val="16"/>
      <name val="Calibri"/>
      <family val="1"/>
    </font>
    <font>
      <sz val="16"/>
      <name val="Calibri"/>
      <family val="2"/>
    </font>
    <font>
      <sz val="16"/>
      <name val="Calibri"/>
      <family val="1"/>
    </font>
    <font>
      <sz val="16"/>
      <color rgb="FF000000"/>
      <name val="Calibri"/>
      <family val="2"/>
    </font>
    <font>
      <b/>
      <sz val="16"/>
      <color rgb="FF000000"/>
      <name val="Times New Roman"/>
      <family val="1"/>
    </font>
    <font>
      <sz val="10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00"/>
      <name val="Aptos"/>
      <family val="2"/>
    </font>
    <font>
      <sz val="14"/>
      <color rgb="FF000000"/>
      <name val="Aptos"/>
      <family val="2"/>
    </font>
    <font>
      <b/>
      <sz val="16"/>
      <color rgb="FF000000"/>
      <name val="Calibri"/>
      <family val="2"/>
    </font>
    <font>
      <b/>
      <sz val="16"/>
      <color rgb="FF00000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sz val="11"/>
      <color rgb="FF000000"/>
      <name val="Aptos"/>
      <family val="2"/>
    </font>
    <font>
      <sz val="11"/>
      <color rgb="FF000000"/>
      <name val="Times New Roman"/>
      <family val="1"/>
    </font>
    <font>
      <sz val="11"/>
      <color rgb="FF000000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004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53"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left" vertical="top"/>
    </xf>
    <xf numFmtId="0" fontId="13" fillId="0" borderId="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wrapText="1"/>
    </xf>
    <xf numFmtId="0" fontId="0" fillId="0" borderId="2" xfId="0" applyBorder="1" applyAlignment="1">
      <alignment horizontal="left" vertical="top"/>
    </xf>
    <xf numFmtId="0" fontId="1" fillId="0" borderId="2" xfId="0" applyFont="1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5"/>
    </xf>
    <xf numFmtId="0" fontId="5" fillId="0" borderId="2" xfId="0" applyFont="1" applyBorder="1" applyAlignment="1">
      <alignment horizontal="center" vertical="top" wrapText="1"/>
    </xf>
    <xf numFmtId="3" fontId="7" fillId="0" borderId="2" xfId="0" applyNumberFormat="1" applyFont="1" applyBorder="1" applyAlignment="1">
      <alignment horizontal="center" vertical="top" shrinkToFit="1"/>
    </xf>
    <xf numFmtId="0" fontId="5" fillId="0" borderId="2" xfId="0" applyFont="1" applyBorder="1" applyAlignment="1">
      <alignment horizontal="left" vertical="top" wrapText="1" indent="5"/>
    </xf>
    <xf numFmtId="0" fontId="4" fillId="0" borderId="2" xfId="0" applyFont="1" applyBorder="1" applyAlignment="1">
      <alignment horizontal="left" vertical="top" wrapText="1" indent="3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164" fontId="10" fillId="0" borderId="0" xfId="1" applyNumberFormat="1" applyFont="1" applyFill="1" applyBorder="1"/>
    <xf numFmtId="164" fontId="10" fillId="0" borderId="0" xfId="1" applyNumberFormat="1" applyFont="1" applyFill="1" applyBorder="1" applyAlignment="1">
      <alignment horizontal="center"/>
    </xf>
    <xf numFmtId="0" fontId="13" fillId="0" borderId="0" xfId="0" applyFont="1" applyAlignment="1">
      <alignment vertical="center"/>
    </xf>
    <xf numFmtId="0" fontId="17" fillId="0" borderId="0" xfId="0" applyFont="1" applyAlignment="1">
      <alignment horizontal="left" vertical="top"/>
    </xf>
    <xf numFmtId="0" fontId="18" fillId="0" borderId="0" xfId="0" applyFont="1" applyAlignment="1">
      <alignment horizontal="left" vertical="top"/>
    </xf>
    <xf numFmtId="0" fontId="19" fillId="0" borderId="1" xfId="0" applyFont="1" applyBorder="1" applyAlignment="1">
      <alignment vertical="center"/>
    </xf>
    <xf numFmtId="165" fontId="7" fillId="0" borderId="2" xfId="1" applyNumberFormat="1" applyFont="1" applyBorder="1" applyAlignment="1">
      <alignment horizontal="center" vertical="top" shrinkToFit="1"/>
    </xf>
    <xf numFmtId="165" fontId="3" fillId="0" borderId="2" xfId="1" applyNumberFormat="1" applyFont="1" applyBorder="1" applyAlignment="1">
      <alignment horizontal="left" wrapText="1"/>
    </xf>
    <xf numFmtId="165" fontId="3" fillId="0" borderId="2" xfId="1" applyNumberFormat="1" applyFont="1" applyBorder="1" applyAlignment="1">
      <alignment horizontal="center" wrapText="1"/>
    </xf>
    <xf numFmtId="165" fontId="14" fillId="0" borderId="2" xfId="1" applyNumberFormat="1" applyFont="1" applyBorder="1" applyAlignment="1">
      <alignment horizontal="center" vertical="top" shrinkToFit="1"/>
    </xf>
    <xf numFmtId="0" fontId="13" fillId="3" borderId="1" xfId="0" applyFont="1" applyFill="1" applyBorder="1" applyAlignment="1">
      <alignment vertical="center"/>
    </xf>
    <xf numFmtId="0" fontId="16" fillId="4" borderId="2" xfId="0" applyFont="1" applyFill="1" applyBorder="1" applyAlignment="1">
      <alignment horizontal="center"/>
    </xf>
    <xf numFmtId="164" fontId="16" fillId="4" borderId="2" xfId="1" applyNumberFormat="1" applyFont="1" applyFill="1" applyBorder="1" applyAlignment="1">
      <alignment horizontal="center"/>
    </xf>
    <xf numFmtId="164" fontId="16" fillId="4" borderId="2" xfId="1" applyNumberFormat="1" applyFont="1" applyFill="1" applyBorder="1"/>
    <xf numFmtId="0" fontId="16" fillId="5" borderId="2" xfId="0" applyFont="1" applyFill="1" applyBorder="1" applyAlignment="1">
      <alignment horizontal="center"/>
    </xf>
    <xf numFmtId="164" fontId="16" fillId="5" borderId="2" xfId="1" applyNumberFormat="1" applyFont="1" applyFill="1" applyBorder="1"/>
    <xf numFmtId="164" fontId="16" fillId="5" borderId="2" xfId="1" applyNumberFormat="1" applyFont="1" applyFill="1" applyBorder="1" applyAlignment="1">
      <alignment horizontal="center"/>
    </xf>
    <xf numFmtId="0" fontId="16" fillId="6" borderId="2" xfId="0" applyFont="1" applyFill="1" applyBorder="1" applyAlignment="1">
      <alignment horizontal="center"/>
    </xf>
    <xf numFmtId="164" fontId="16" fillId="6" borderId="2" xfId="1" applyNumberFormat="1" applyFont="1" applyFill="1" applyBorder="1"/>
    <xf numFmtId="164" fontId="16" fillId="6" borderId="2" xfId="1" applyNumberFormat="1" applyFont="1" applyFill="1" applyBorder="1" applyAlignment="1">
      <alignment horizontal="center"/>
    </xf>
    <xf numFmtId="0" fontId="16" fillId="7" borderId="2" xfId="0" applyFont="1" applyFill="1" applyBorder="1" applyAlignment="1">
      <alignment horizontal="center"/>
    </xf>
    <xf numFmtId="164" fontId="16" fillId="7" borderId="2" xfId="1" applyNumberFormat="1" applyFont="1" applyFill="1" applyBorder="1"/>
    <xf numFmtId="164" fontId="16" fillId="7" borderId="2" xfId="1" applyNumberFormat="1" applyFont="1" applyFill="1" applyBorder="1" applyAlignment="1">
      <alignment horizontal="center"/>
    </xf>
    <xf numFmtId="0" fontId="10" fillId="8" borderId="2" xfId="0" applyFont="1" applyFill="1" applyBorder="1" applyAlignment="1">
      <alignment horizontal="center"/>
    </xf>
    <xf numFmtId="164" fontId="10" fillId="8" borderId="2" xfId="0" applyNumberFormat="1" applyFont="1" applyFill="1" applyBorder="1"/>
    <xf numFmtId="164" fontId="10" fillId="8" borderId="2" xfId="1" applyNumberFormat="1" applyFont="1" applyFill="1" applyBorder="1"/>
    <xf numFmtId="164" fontId="10" fillId="8" borderId="2" xfId="1" applyNumberFormat="1" applyFont="1" applyFill="1" applyBorder="1" applyAlignment="1">
      <alignment horizontal="center"/>
    </xf>
    <xf numFmtId="0" fontId="10" fillId="9" borderId="2" xfId="0" applyFont="1" applyFill="1" applyBorder="1" applyAlignment="1">
      <alignment horizontal="center"/>
    </xf>
    <xf numFmtId="164" fontId="10" fillId="9" borderId="2" xfId="1" applyNumberFormat="1" applyFont="1" applyFill="1" applyBorder="1"/>
    <xf numFmtId="164" fontId="10" fillId="9" borderId="2" xfId="1" applyNumberFormat="1" applyFont="1" applyFill="1" applyBorder="1" applyAlignment="1">
      <alignment horizontal="center"/>
    </xf>
    <xf numFmtId="164" fontId="0" fillId="0" borderId="0" xfId="0" applyNumberFormat="1" applyAlignment="1">
      <alignment horizontal="left" vertical="top"/>
    </xf>
    <xf numFmtId="165" fontId="13" fillId="0" borderId="1" xfId="1" applyNumberFormat="1" applyFont="1" applyBorder="1" applyAlignment="1">
      <alignment vertical="center"/>
    </xf>
    <xf numFmtId="165" fontId="13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004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CF8A8-959E-468C-A56E-8C194BB75659}">
  <sheetPr codeName="Sheet4">
    <pageSetUpPr fitToPage="1"/>
  </sheetPr>
  <dimension ref="A1:H15"/>
  <sheetViews>
    <sheetView zoomScaleNormal="100" workbookViewId="0">
      <selection activeCell="G7" sqref="G7"/>
    </sheetView>
  </sheetViews>
  <sheetFormatPr defaultColWidth="9" defaultRowHeight="12.75" x14ac:dyDescent="0.2"/>
  <cols>
    <col min="1" max="1" width="10.1640625" customWidth="1"/>
    <col min="2" max="2" width="20.83203125" customWidth="1"/>
    <col min="3" max="3" width="22.1640625" customWidth="1"/>
    <col min="4" max="5" width="20" customWidth="1"/>
    <col min="6" max="6" width="19.83203125" customWidth="1"/>
    <col min="7" max="7" width="28" customWidth="1"/>
    <col min="8" max="8" width="10.5" bestFit="1" customWidth="1"/>
  </cols>
  <sheetData>
    <row r="1" spans="1:8" ht="25.5" customHeight="1" x14ac:dyDescent="0.2">
      <c r="A1" s="23" t="s">
        <v>0</v>
      </c>
      <c r="B1" s="24"/>
      <c r="C1" s="24"/>
      <c r="D1" s="24"/>
      <c r="E1" s="23"/>
      <c r="G1" s="23" t="s">
        <v>2</v>
      </c>
    </row>
    <row r="2" spans="1:8" ht="27.75" customHeight="1" x14ac:dyDescent="0.2">
      <c r="A2" s="25" t="s">
        <v>59</v>
      </c>
      <c r="B2" s="24"/>
      <c r="C2" s="24"/>
      <c r="D2" s="24"/>
      <c r="E2" s="25"/>
      <c r="G2" s="25">
        <v>3</v>
      </c>
    </row>
    <row r="3" spans="1:8" ht="27.75" customHeight="1" x14ac:dyDescent="0.2">
      <c r="A3" s="22"/>
      <c r="B3" s="22"/>
      <c r="C3" s="22"/>
      <c r="D3" s="22"/>
    </row>
    <row r="4" spans="1:8" ht="15" x14ac:dyDescent="0.25">
      <c r="A4" s="18" t="s">
        <v>51</v>
      </c>
      <c r="B4" s="18" t="s">
        <v>50</v>
      </c>
      <c r="C4" s="18" t="s">
        <v>49</v>
      </c>
      <c r="D4" s="18" t="s">
        <v>52</v>
      </c>
      <c r="E4" s="18" t="s">
        <v>53</v>
      </c>
      <c r="F4" s="18" t="s">
        <v>54</v>
      </c>
      <c r="G4" s="18" t="s">
        <v>55</v>
      </c>
    </row>
    <row r="5" spans="1:8" ht="15" x14ac:dyDescent="0.25">
      <c r="A5" s="31">
        <v>1</v>
      </c>
      <c r="B5" s="32">
        <f>'1 pax'!E38</f>
        <v>4962500</v>
      </c>
      <c r="C5" s="33">
        <f t="shared" ref="C5" si="0">B5*A5</f>
        <v>4962500</v>
      </c>
      <c r="D5" s="32">
        <v>6300000</v>
      </c>
      <c r="E5" s="32">
        <f t="shared" ref="E5" si="1">D5*A5</f>
        <v>6300000</v>
      </c>
      <c r="F5" s="32">
        <f t="shared" ref="F5" si="2">E5-C5</f>
        <v>1337500</v>
      </c>
      <c r="G5" s="32">
        <f t="shared" ref="G5" si="3">F5/E5*100</f>
        <v>21.230158730158731</v>
      </c>
    </row>
    <row r="6" spans="1:8" ht="15" x14ac:dyDescent="0.25">
      <c r="A6" s="31">
        <v>2</v>
      </c>
      <c r="B6" s="32">
        <f>'2 Pax'!E38</f>
        <v>2768750</v>
      </c>
      <c r="C6" s="33">
        <f t="shared" ref="C6:C15" si="4">B6*A6</f>
        <v>5537500</v>
      </c>
      <c r="D6" s="32">
        <v>3570000</v>
      </c>
      <c r="E6" s="32">
        <f t="shared" ref="E6:E15" si="5">D6*A6</f>
        <v>7140000</v>
      </c>
      <c r="F6" s="32">
        <f t="shared" ref="F6:F15" si="6">E6-C6</f>
        <v>1602500</v>
      </c>
      <c r="G6" s="32">
        <f t="shared" ref="G6:G15" si="7">F6/E6*100</f>
        <v>22.443977591036415</v>
      </c>
      <c r="H6" s="50"/>
    </row>
    <row r="7" spans="1:8" ht="15" x14ac:dyDescent="0.25">
      <c r="A7" s="34">
        <v>3</v>
      </c>
      <c r="B7" s="35">
        <f>'3 Pax'!E38</f>
        <v>2179166.6666666665</v>
      </c>
      <c r="C7" s="35">
        <f t="shared" si="4"/>
        <v>6537500</v>
      </c>
      <c r="D7" s="36">
        <v>3275000</v>
      </c>
      <c r="E7" s="36">
        <f t="shared" si="5"/>
        <v>9825000</v>
      </c>
      <c r="F7" s="36">
        <f t="shared" si="6"/>
        <v>3287500</v>
      </c>
      <c r="G7" s="36">
        <f t="shared" si="7"/>
        <v>33.460559796437664</v>
      </c>
      <c r="H7" s="50"/>
    </row>
    <row r="8" spans="1:8" ht="15" x14ac:dyDescent="0.25">
      <c r="A8" s="37">
        <v>4</v>
      </c>
      <c r="B8" s="38">
        <f>'4 Pax'!E37</f>
        <v>2381250</v>
      </c>
      <c r="C8" s="38">
        <f t="shared" si="4"/>
        <v>9525000</v>
      </c>
      <c r="D8" s="39">
        <v>3050000</v>
      </c>
      <c r="E8" s="39">
        <f t="shared" si="5"/>
        <v>12200000</v>
      </c>
      <c r="F8" s="39">
        <f t="shared" si="6"/>
        <v>2675000</v>
      </c>
      <c r="G8" s="39">
        <f t="shared" si="7"/>
        <v>21.92622950819672</v>
      </c>
      <c r="H8" s="50"/>
    </row>
    <row r="9" spans="1:8" ht="15" x14ac:dyDescent="0.25">
      <c r="A9" s="37">
        <v>5</v>
      </c>
      <c r="B9" s="38">
        <f>'5 Pax'!E41</f>
        <v>2255000</v>
      </c>
      <c r="C9" s="38">
        <f t="shared" si="4"/>
        <v>11275000</v>
      </c>
      <c r="D9" s="39">
        <v>3050000</v>
      </c>
      <c r="E9" s="39">
        <f t="shared" si="5"/>
        <v>15250000</v>
      </c>
      <c r="F9" s="39">
        <f t="shared" si="6"/>
        <v>3975000</v>
      </c>
      <c r="G9" s="39">
        <f t="shared" si="7"/>
        <v>26.065573770491802</v>
      </c>
      <c r="H9" s="50"/>
    </row>
    <row r="10" spans="1:8" ht="15" x14ac:dyDescent="0.25">
      <c r="A10" s="40">
        <v>6</v>
      </c>
      <c r="B10" s="41">
        <f>'6 Pax'!E38</f>
        <v>2093750</v>
      </c>
      <c r="C10" s="41">
        <f t="shared" si="4"/>
        <v>12562500</v>
      </c>
      <c r="D10" s="42">
        <v>2850000</v>
      </c>
      <c r="E10" s="42">
        <f t="shared" si="5"/>
        <v>17100000</v>
      </c>
      <c r="F10" s="42">
        <f t="shared" si="6"/>
        <v>4537500</v>
      </c>
      <c r="G10" s="42">
        <f t="shared" si="7"/>
        <v>26.535087719298247</v>
      </c>
      <c r="H10" s="50"/>
    </row>
    <row r="11" spans="1:8" ht="15" x14ac:dyDescent="0.25">
      <c r="A11" s="40">
        <v>7</v>
      </c>
      <c r="B11" s="41">
        <f>'7 Pax'!E39</f>
        <v>1937500</v>
      </c>
      <c r="C11" s="41">
        <f t="shared" si="4"/>
        <v>13562500</v>
      </c>
      <c r="D11" s="42">
        <v>2850000</v>
      </c>
      <c r="E11" s="42">
        <f t="shared" si="5"/>
        <v>19950000</v>
      </c>
      <c r="F11" s="42">
        <f t="shared" si="6"/>
        <v>6387500</v>
      </c>
      <c r="G11" s="42">
        <f t="shared" si="7"/>
        <v>32.017543859649123</v>
      </c>
      <c r="H11" s="50"/>
    </row>
    <row r="12" spans="1:8" ht="15" x14ac:dyDescent="0.25">
      <c r="A12" s="43">
        <v>8</v>
      </c>
      <c r="B12" s="44">
        <f>'8 Pax'!E38</f>
        <v>1850000</v>
      </c>
      <c r="C12" s="45">
        <f t="shared" si="4"/>
        <v>14800000</v>
      </c>
      <c r="D12" s="46">
        <v>2550000</v>
      </c>
      <c r="E12" s="46">
        <f t="shared" si="5"/>
        <v>20400000</v>
      </c>
      <c r="F12" s="46">
        <f t="shared" si="6"/>
        <v>5600000</v>
      </c>
      <c r="G12" s="46">
        <f t="shared" si="7"/>
        <v>27.450980392156865</v>
      </c>
      <c r="H12" s="50"/>
    </row>
    <row r="13" spans="1:8" ht="15" x14ac:dyDescent="0.25">
      <c r="A13" s="43">
        <v>9</v>
      </c>
      <c r="B13" s="45">
        <f>'9 Pax'!E40</f>
        <v>1816666.6666666667</v>
      </c>
      <c r="C13" s="45">
        <f t="shared" si="4"/>
        <v>16350000</v>
      </c>
      <c r="D13" s="46">
        <v>2550000</v>
      </c>
      <c r="E13" s="46">
        <f t="shared" si="5"/>
        <v>22950000</v>
      </c>
      <c r="F13" s="46">
        <f t="shared" si="6"/>
        <v>6600000</v>
      </c>
      <c r="G13" s="46">
        <f t="shared" si="7"/>
        <v>28.75816993464052</v>
      </c>
      <c r="H13" s="50"/>
    </row>
    <row r="14" spans="1:8" ht="15" x14ac:dyDescent="0.25">
      <c r="A14" s="43">
        <v>10</v>
      </c>
      <c r="B14" s="45">
        <f>'10 Pax'!E39</f>
        <v>1973750</v>
      </c>
      <c r="C14" s="45">
        <f t="shared" si="4"/>
        <v>19737500</v>
      </c>
      <c r="D14" s="46">
        <v>2550000</v>
      </c>
      <c r="E14" s="46">
        <f t="shared" si="5"/>
        <v>25500000</v>
      </c>
      <c r="F14" s="46">
        <f t="shared" si="6"/>
        <v>5762500</v>
      </c>
      <c r="G14" s="46">
        <f t="shared" si="7"/>
        <v>22.598039215686274</v>
      </c>
      <c r="H14" s="50"/>
    </row>
    <row r="15" spans="1:8" ht="15" x14ac:dyDescent="0.25">
      <c r="A15" s="47">
        <v>11</v>
      </c>
      <c r="B15" s="48">
        <f>'11 Pax'!E41</f>
        <v>1889772.7272727273</v>
      </c>
      <c r="C15" s="48">
        <f t="shared" si="4"/>
        <v>20787500</v>
      </c>
      <c r="D15" s="49">
        <v>2450000</v>
      </c>
      <c r="E15" s="49">
        <f t="shared" si="5"/>
        <v>26950000</v>
      </c>
      <c r="F15" s="49">
        <f t="shared" si="6"/>
        <v>6162500</v>
      </c>
      <c r="G15" s="49">
        <f t="shared" si="7"/>
        <v>22.866419294990724</v>
      </c>
      <c r="H15" s="50"/>
    </row>
  </sheetData>
  <pageMargins left="0.25" right="0.25" top="0.75" bottom="0.75" header="0.3" footer="0.3"/>
  <pageSetup paperSize="1000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8F85E-EA59-4A92-8D5D-3CB84F7021B2}">
  <sheetPr>
    <pageSetUpPr fitToPage="1"/>
  </sheetPr>
  <dimension ref="A1:E38"/>
  <sheetViews>
    <sheetView zoomScale="70" zoomScaleNormal="70" workbookViewId="0">
      <selection sqref="A1:E38"/>
    </sheetView>
  </sheetViews>
  <sheetFormatPr defaultColWidth="9" defaultRowHeight="12.75" x14ac:dyDescent="0.2"/>
  <cols>
    <col min="1" max="1" width="99" bestFit="1" customWidth="1"/>
    <col min="2" max="2" width="20.6640625" customWidth="1"/>
    <col min="3" max="3" width="29.1640625" customWidth="1"/>
    <col min="4" max="4" width="21.6640625" customWidth="1"/>
    <col min="5" max="5" width="25.33203125" customWidth="1"/>
    <col min="8" max="8" width="7" bestFit="1" customWidth="1"/>
    <col min="9" max="10" width="20.83203125" bestFit="1" customWidth="1"/>
    <col min="11" max="11" width="18.6640625" bestFit="1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5" ht="25.5" customHeight="1" x14ac:dyDescent="0.2">
      <c r="A1" s="2" t="s">
        <v>0</v>
      </c>
      <c r="B1" s="2"/>
      <c r="C1" s="2" t="s">
        <v>2</v>
      </c>
      <c r="D1" s="2" t="s">
        <v>3</v>
      </c>
      <c r="E1" s="2" t="s">
        <v>60</v>
      </c>
    </row>
    <row r="2" spans="1:5" ht="27.75" customHeight="1" x14ac:dyDescent="0.2">
      <c r="A2" s="3" t="s">
        <v>59</v>
      </c>
      <c r="B2" s="3"/>
      <c r="C2" s="3">
        <v>3</v>
      </c>
      <c r="D2" s="30">
        <v>1</v>
      </c>
      <c r="E2" s="51">
        <v>6300000</v>
      </c>
    </row>
    <row r="3" spans="1:5" ht="27.75" customHeight="1" x14ac:dyDescent="0.2">
      <c r="A3" s="4"/>
      <c r="B3" s="4"/>
      <c r="C3" s="4"/>
    </row>
    <row r="4" spans="1:5" ht="35.25" customHeight="1" x14ac:dyDescent="0.2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</row>
    <row r="5" spans="1:5" ht="22.5" customHeight="1" x14ac:dyDescent="0.3">
      <c r="A5" s="6" t="s">
        <v>9</v>
      </c>
      <c r="B5" s="7"/>
      <c r="C5" s="7"/>
      <c r="D5" s="8"/>
      <c r="E5" s="8"/>
    </row>
    <row r="6" spans="1:5" ht="22.5" customHeight="1" x14ac:dyDescent="0.3">
      <c r="A6" s="9" t="s">
        <v>10</v>
      </c>
      <c r="B6" s="7"/>
      <c r="C6" s="7"/>
      <c r="D6" s="8"/>
      <c r="E6" s="8"/>
    </row>
    <row r="7" spans="1:5" ht="22.5" customHeight="1" x14ac:dyDescent="0.2">
      <c r="A7" s="10" t="s">
        <v>12</v>
      </c>
      <c r="B7" s="11" t="s">
        <v>11</v>
      </c>
      <c r="C7" s="26">
        <v>337500</v>
      </c>
      <c r="D7" s="12">
        <f>ROUNDUP(D2/2,0)</f>
        <v>1</v>
      </c>
      <c r="E7" s="26">
        <f>C7*D7</f>
        <v>337500</v>
      </c>
    </row>
    <row r="8" spans="1:5" ht="22.5" customHeight="1" x14ac:dyDescent="0.3">
      <c r="A8" s="9" t="s">
        <v>14</v>
      </c>
      <c r="B8" s="7"/>
      <c r="C8" s="27"/>
      <c r="D8" s="12"/>
      <c r="E8" s="26"/>
    </row>
    <row r="9" spans="1:5" ht="22.5" customHeight="1" x14ac:dyDescent="0.2">
      <c r="A9" s="10" t="s">
        <v>15</v>
      </c>
      <c r="B9" s="11" t="s">
        <v>11</v>
      </c>
      <c r="C9" s="26">
        <v>750000</v>
      </c>
      <c r="D9" s="12">
        <f>ROUNDUP(D2/2,0)</f>
        <v>1</v>
      </c>
      <c r="E9" s="26">
        <f t="shared" ref="E9:E23" si="0">C9*D9</f>
        <v>750000</v>
      </c>
    </row>
    <row r="10" spans="1:5" ht="22.5" customHeight="1" x14ac:dyDescent="0.3">
      <c r="A10" s="6" t="s">
        <v>17</v>
      </c>
      <c r="B10" s="7"/>
      <c r="C10" s="27"/>
      <c r="D10" s="12"/>
      <c r="E10" s="26"/>
    </row>
    <row r="11" spans="1:5" ht="22.5" customHeight="1" x14ac:dyDescent="0.3">
      <c r="A11" s="9" t="s">
        <v>18</v>
      </c>
      <c r="B11" s="7"/>
      <c r="C11" s="27"/>
      <c r="D11" s="12"/>
      <c r="E11" s="26"/>
    </row>
    <row r="12" spans="1:5" ht="22.5" customHeight="1" x14ac:dyDescent="0.2">
      <c r="A12" s="10" t="s">
        <v>19</v>
      </c>
      <c r="B12" s="11" t="s">
        <v>20</v>
      </c>
      <c r="C12" s="26">
        <v>75000</v>
      </c>
      <c r="D12" s="12">
        <f>D2</f>
        <v>1</v>
      </c>
      <c r="E12" s="26">
        <f t="shared" si="0"/>
        <v>75000</v>
      </c>
    </row>
    <row r="13" spans="1:5" ht="22.5" customHeight="1" x14ac:dyDescent="0.2">
      <c r="A13" s="10" t="s">
        <v>58</v>
      </c>
      <c r="B13" s="11" t="s">
        <v>20</v>
      </c>
      <c r="C13" s="26">
        <v>35000</v>
      </c>
      <c r="D13" s="12">
        <f>D2</f>
        <v>1</v>
      </c>
      <c r="E13" s="26">
        <f t="shared" si="0"/>
        <v>35000</v>
      </c>
    </row>
    <row r="14" spans="1:5" ht="22.5" customHeight="1" x14ac:dyDescent="0.2">
      <c r="A14" s="10" t="s">
        <v>21</v>
      </c>
      <c r="B14" s="11" t="s">
        <v>20</v>
      </c>
      <c r="C14" s="26">
        <v>25000</v>
      </c>
      <c r="D14" s="12">
        <f>D2</f>
        <v>1</v>
      </c>
      <c r="E14" s="26">
        <f t="shared" si="0"/>
        <v>25000</v>
      </c>
    </row>
    <row r="15" spans="1:5" ht="22.5" customHeight="1" x14ac:dyDescent="0.2">
      <c r="A15" s="10" t="s">
        <v>22</v>
      </c>
      <c r="B15" s="11" t="s">
        <v>11</v>
      </c>
      <c r="C15" s="26">
        <v>250000</v>
      </c>
      <c r="D15" s="12">
        <f>IF($D$2=4,0,1)</f>
        <v>1</v>
      </c>
      <c r="E15" s="26">
        <f t="shared" si="0"/>
        <v>250000</v>
      </c>
    </row>
    <row r="16" spans="1:5" ht="22.5" customHeight="1" x14ac:dyDescent="0.2">
      <c r="A16" s="10" t="s">
        <v>56</v>
      </c>
      <c r="B16" s="11" t="s">
        <v>20</v>
      </c>
      <c r="C16" s="26">
        <v>65000</v>
      </c>
      <c r="D16" s="12">
        <f>D2</f>
        <v>1</v>
      </c>
      <c r="E16" s="26">
        <f t="shared" si="0"/>
        <v>65000</v>
      </c>
    </row>
    <row r="17" spans="1:5" ht="22.5" customHeight="1" x14ac:dyDescent="0.2">
      <c r="A17" s="10" t="s">
        <v>57</v>
      </c>
      <c r="B17" s="11" t="s">
        <v>20</v>
      </c>
      <c r="C17" s="26">
        <v>65000</v>
      </c>
      <c r="D17" s="12">
        <f>D2</f>
        <v>1</v>
      </c>
      <c r="E17" s="26">
        <f t="shared" si="0"/>
        <v>65000</v>
      </c>
    </row>
    <row r="18" spans="1:5" ht="22.5" customHeight="1" x14ac:dyDescent="0.3">
      <c r="A18" s="9" t="s">
        <v>23</v>
      </c>
      <c r="B18" s="7"/>
      <c r="C18" s="28"/>
      <c r="D18" s="12"/>
      <c r="E18" s="26"/>
    </row>
    <row r="19" spans="1:5" ht="22.5" customHeight="1" x14ac:dyDescent="0.2">
      <c r="A19" s="10" t="s">
        <v>24</v>
      </c>
      <c r="B19" s="11" t="s">
        <v>20</v>
      </c>
      <c r="C19" s="26">
        <v>160000</v>
      </c>
      <c r="D19" s="12">
        <f>D2</f>
        <v>1</v>
      </c>
      <c r="E19" s="26">
        <f t="shared" si="0"/>
        <v>160000</v>
      </c>
    </row>
    <row r="20" spans="1:5" ht="22.5" customHeight="1" x14ac:dyDescent="0.2">
      <c r="A20" s="13" t="s">
        <v>25</v>
      </c>
      <c r="B20" s="11" t="s">
        <v>20</v>
      </c>
      <c r="C20" s="26">
        <v>500000</v>
      </c>
      <c r="D20" s="12">
        <f>ROUNDUP(D2/4,0)</f>
        <v>1</v>
      </c>
      <c r="E20" s="26">
        <f t="shared" si="0"/>
        <v>500000</v>
      </c>
    </row>
    <row r="21" spans="1:5" ht="22.5" customHeight="1" x14ac:dyDescent="0.3">
      <c r="A21" s="14" t="s">
        <v>26</v>
      </c>
      <c r="B21" s="7"/>
      <c r="C21" s="28"/>
      <c r="D21" s="12"/>
      <c r="E21" s="26"/>
    </row>
    <row r="22" spans="1:5" ht="22.5" customHeight="1" x14ac:dyDescent="0.2">
      <c r="A22" s="13" t="s">
        <v>27</v>
      </c>
      <c r="B22" s="11" t="s">
        <v>20</v>
      </c>
      <c r="C22" s="26">
        <v>90000</v>
      </c>
      <c r="D22" s="12">
        <f>D2</f>
        <v>1</v>
      </c>
      <c r="E22" s="26">
        <f t="shared" si="0"/>
        <v>90000</v>
      </c>
    </row>
    <row r="23" spans="1:5" ht="22.5" customHeight="1" x14ac:dyDescent="0.2">
      <c r="A23" s="10" t="s">
        <v>28</v>
      </c>
      <c r="B23" s="11" t="s">
        <v>11</v>
      </c>
      <c r="C23" s="26">
        <v>100000</v>
      </c>
      <c r="D23" s="12">
        <v>1</v>
      </c>
      <c r="E23" s="26">
        <f t="shared" si="0"/>
        <v>100000</v>
      </c>
    </row>
    <row r="24" spans="1:5" ht="22.5" customHeight="1" x14ac:dyDescent="0.3">
      <c r="A24" s="15" t="s">
        <v>29</v>
      </c>
      <c r="B24" s="7"/>
      <c r="C24" s="27"/>
      <c r="D24" s="12"/>
      <c r="E24" s="26"/>
    </row>
    <row r="25" spans="1:5" ht="22.5" customHeight="1" x14ac:dyDescent="0.3">
      <c r="A25" s="9" t="s">
        <v>30</v>
      </c>
      <c r="B25" s="7"/>
      <c r="C25" s="27"/>
      <c r="D25" s="12"/>
      <c r="E25" s="26"/>
    </row>
    <row r="26" spans="1:5" ht="22.5" customHeight="1" x14ac:dyDescent="0.2">
      <c r="A26" s="13" t="s">
        <v>31</v>
      </c>
      <c r="B26" s="11" t="s">
        <v>32</v>
      </c>
      <c r="C26" s="26">
        <v>450000</v>
      </c>
      <c r="D26" s="12">
        <f>IF($D$2=1,$C$2, IF($D$2=2,$C$2,0))</f>
        <v>3</v>
      </c>
      <c r="E26" s="26">
        <f t="shared" ref="E26:E36" si="1">C26*D26</f>
        <v>1350000</v>
      </c>
    </row>
    <row r="27" spans="1:5" ht="22.5" customHeight="1" x14ac:dyDescent="0.3">
      <c r="A27" s="9" t="s">
        <v>35</v>
      </c>
      <c r="B27" s="7"/>
      <c r="C27" s="27"/>
      <c r="D27" s="12"/>
      <c r="E27" s="26"/>
    </row>
    <row r="28" spans="1:5" ht="22.5" customHeight="1" x14ac:dyDescent="0.2">
      <c r="A28" s="13" t="s">
        <v>36</v>
      </c>
      <c r="B28" s="11" t="s">
        <v>11</v>
      </c>
      <c r="C28" s="26">
        <v>200000</v>
      </c>
      <c r="D28" s="12">
        <f>IF((($D$2&gt;=10)*($D$2&lt;=11))=1,2,1)</f>
        <v>1</v>
      </c>
      <c r="E28" s="26">
        <f t="shared" si="1"/>
        <v>200000</v>
      </c>
    </row>
    <row r="29" spans="1:5" ht="22.5" customHeight="1" x14ac:dyDescent="0.3">
      <c r="A29" s="15" t="s">
        <v>38</v>
      </c>
      <c r="B29" s="7"/>
      <c r="C29" s="27"/>
      <c r="D29" s="12"/>
      <c r="E29" s="26">
        <f t="shared" si="1"/>
        <v>0</v>
      </c>
    </row>
    <row r="30" spans="1:5" ht="22.5" customHeight="1" x14ac:dyDescent="0.3">
      <c r="A30" s="9" t="s">
        <v>39</v>
      </c>
      <c r="B30" s="7"/>
      <c r="C30" s="27"/>
      <c r="D30" s="12"/>
      <c r="E30" s="26">
        <f t="shared" si="1"/>
        <v>0</v>
      </c>
    </row>
    <row r="31" spans="1:5" ht="22.5" customHeight="1" x14ac:dyDescent="0.2">
      <c r="A31" s="13" t="s">
        <v>40</v>
      </c>
      <c r="B31" s="11" t="s">
        <v>32</v>
      </c>
      <c r="C31" s="26">
        <v>250000</v>
      </c>
      <c r="D31" s="12">
        <f>IF((($D$2&gt;=1)*($D$2&lt;=3))=1,$C$2,0)</f>
        <v>3</v>
      </c>
      <c r="E31" s="26">
        <f t="shared" si="1"/>
        <v>750000</v>
      </c>
    </row>
    <row r="32" spans="1:5" ht="22.5" customHeight="1" x14ac:dyDescent="0.3">
      <c r="A32" s="15" t="s">
        <v>42</v>
      </c>
      <c r="B32" s="7"/>
      <c r="C32" s="27"/>
      <c r="D32" s="12"/>
      <c r="E32" s="26">
        <f t="shared" si="1"/>
        <v>0</v>
      </c>
    </row>
    <row r="33" spans="1:5" ht="22.5" customHeight="1" x14ac:dyDescent="0.3">
      <c r="A33" s="9" t="s">
        <v>43</v>
      </c>
      <c r="B33" s="7"/>
      <c r="C33" s="27"/>
      <c r="D33" s="12"/>
      <c r="E33" s="26">
        <f t="shared" si="1"/>
        <v>0</v>
      </c>
    </row>
    <row r="34" spans="1:5" ht="22.5" customHeight="1" x14ac:dyDescent="0.2">
      <c r="A34" s="13" t="s">
        <v>44</v>
      </c>
      <c r="B34" s="11" t="s">
        <v>45</v>
      </c>
      <c r="C34" s="26">
        <v>50000</v>
      </c>
      <c r="D34" s="12">
        <f>ROUNDUP(D2*C2*3/24,0)</f>
        <v>1</v>
      </c>
      <c r="E34" s="26">
        <f t="shared" si="1"/>
        <v>50000</v>
      </c>
    </row>
    <row r="35" spans="1:5" ht="22.5" customHeight="1" x14ac:dyDescent="0.2">
      <c r="A35" s="13" t="s">
        <v>46</v>
      </c>
      <c r="B35" s="11" t="s">
        <v>47</v>
      </c>
      <c r="C35" s="26">
        <v>100000</v>
      </c>
      <c r="D35" s="12">
        <v>1</v>
      </c>
      <c r="E35" s="26">
        <f t="shared" si="1"/>
        <v>100000</v>
      </c>
    </row>
    <row r="36" spans="1:5" ht="22.5" customHeight="1" x14ac:dyDescent="0.2">
      <c r="A36" s="13" t="s">
        <v>48</v>
      </c>
      <c r="B36" s="11" t="s">
        <v>20</v>
      </c>
      <c r="C36" s="26">
        <v>60000</v>
      </c>
      <c r="D36" s="12">
        <f>D2</f>
        <v>1</v>
      </c>
      <c r="E36" s="26">
        <f t="shared" si="1"/>
        <v>60000</v>
      </c>
    </row>
    <row r="37" spans="1:5" s="1" customFormat="1" ht="30" customHeight="1" x14ac:dyDescent="0.2">
      <c r="A37" s="17" t="s">
        <v>49</v>
      </c>
      <c r="B37" s="16"/>
      <c r="C37" s="5"/>
      <c r="D37" s="12"/>
      <c r="E37" s="29">
        <f>SUM(E7:E36)</f>
        <v>4962500</v>
      </c>
    </row>
    <row r="38" spans="1:5" ht="36" customHeight="1" x14ac:dyDescent="0.2">
      <c r="A38" s="17" t="s">
        <v>50</v>
      </c>
      <c r="B38" s="8"/>
      <c r="C38" s="8"/>
      <c r="D38" s="8"/>
      <c r="E38" s="29">
        <f>E37/D2</f>
        <v>4962500</v>
      </c>
    </row>
  </sheetData>
  <pageMargins left="0.25" right="0.25" top="0.75" bottom="0.75" header="0.3" footer="0.3"/>
  <pageSetup paperSize="9" scale="57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7D1B6-9866-8E40-8C0C-E567CDE6D4C1}">
  <sheetPr codeName="Sheet5">
    <pageSetUpPr fitToPage="1"/>
  </sheetPr>
  <dimension ref="A1:E38"/>
  <sheetViews>
    <sheetView zoomScale="55" zoomScaleNormal="55" workbookViewId="0">
      <selection sqref="A1:E38"/>
    </sheetView>
  </sheetViews>
  <sheetFormatPr defaultColWidth="9" defaultRowHeight="12.75" x14ac:dyDescent="0.2"/>
  <cols>
    <col min="1" max="1" width="101.33203125" bestFit="1" customWidth="1"/>
    <col min="2" max="2" width="20.6640625" customWidth="1"/>
    <col min="3" max="3" width="29.1640625" customWidth="1"/>
    <col min="4" max="4" width="21.6640625" customWidth="1"/>
    <col min="5" max="5" width="25.33203125" customWidth="1"/>
    <col min="8" max="8" width="7" bestFit="1" customWidth="1"/>
    <col min="9" max="10" width="20.83203125" bestFit="1" customWidth="1"/>
    <col min="11" max="11" width="18.6640625" bestFit="1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5" ht="25.5" customHeight="1" x14ac:dyDescent="0.2">
      <c r="A1" s="2" t="s">
        <v>0</v>
      </c>
      <c r="B1" s="2"/>
      <c r="C1" s="2" t="s">
        <v>2</v>
      </c>
      <c r="D1" s="2" t="s">
        <v>3</v>
      </c>
      <c r="E1" s="2" t="s">
        <v>60</v>
      </c>
    </row>
    <row r="2" spans="1:5" ht="27.75" customHeight="1" x14ac:dyDescent="0.2">
      <c r="A2" s="3" t="s">
        <v>59</v>
      </c>
      <c r="B2" s="3"/>
      <c r="C2" s="3">
        <v>3</v>
      </c>
      <c r="D2" s="30">
        <v>2</v>
      </c>
      <c r="E2" s="51">
        <v>3570000</v>
      </c>
    </row>
    <row r="3" spans="1:5" ht="27.75" customHeight="1" x14ac:dyDescent="0.2">
      <c r="A3" s="4"/>
      <c r="B3" s="4"/>
      <c r="C3" s="4"/>
    </row>
    <row r="4" spans="1:5" ht="35.25" customHeight="1" x14ac:dyDescent="0.2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</row>
    <row r="5" spans="1:5" ht="22.5" customHeight="1" x14ac:dyDescent="0.3">
      <c r="A5" s="6" t="s">
        <v>9</v>
      </c>
      <c r="B5" s="7"/>
      <c r="C5" s="7"/>
      <c r="D5" s="8"/>
      <c r="E5" s="8"/>
    </row>
    <row r="6" spans="1:5" ht="22.5" customHeight="1" x14ac:dyDescent="0.3">
      <c r="A6" s="9" t="s">
        <v>10</v>
      </c>
      <c r="B6" s="7"/>
      <c r="C6" s="7"/>
      <c r="D6" s="8"/>
      <c r="E6" s="8"/>
    </row>
    <row r="7" spans="1:5" ht="22.5" customHeight="1" x14ac:dyDescent="0.2">
      <c r="A7" s="10" t="s">
        <v>12</v>
      </c>
      <c r="B7" s="11" t="s">
        <v>11</v>
      </c>
      <c r="C7" s="26">
        <v>337500</v>
      </c>
      <c r="D7" s="12">
        <f>ROUNDUP(D2/2,0)</f>
        <v>1</v>
      </c>
      <c r="E7" s="26">
        <f>C7*D7</f>
        <v>337500</v>
      </c>
    </row>
    <row r="8" spans="1:5" ht="22.5" customHeight="1" x14ac:dyDescent="0.3">
      <c r="A8" s="9" t="s">
        <v>14</v>
      </c>
      <c r="B8" s="7"/>
      <c r="C8" s="27"/>
      <c r="D8" s="12"/>
      <c r="E8" s="26"/>
    </row>
    <row r="9" spans="1:5" ht="22.5" customHeight="1" x14ac:dyDescent="0.2">
      <c r="A9" s="10" t="s">
        <v>15</v>
      </c>
      <c r="B9" s="11" t="s">
        <v>11</v>
      </c>
      <c r="C9" s="26">
        <v>750000</v>
      </c>
      <c r="D9" s="12">
        <f>ROUNDUP(D2/2,0)</f>
        <v>1</v>
      </c>
      <c r="E9" s="26">
        <f t="shared" ref="E9:E23" si="0">C9*D9</f>
        <v>750000</v>
      </c>
    </row>
    <row r="10" spans="1:5" ht="22.5" customHeight="1" x14ac:dyDescent="0.3">
      <c r="A10" s="6" t="s">
        <v>17</v>
      </c>
      <c r="B10" s="7"/>
      <c r="C10" s="27"/>
      <c r="D10" s="12"/>
      <c r="E10" s="26"/>
    </row>
    <row r="11" spans="1:5" ht="22.5" customHeight="1" x14ac:dyDescent="0.3">
      <c r="A11" s="9" t="s">
        <v>18</v>
      </c>
      <c r="B11" s="7"/>
      <c r="C11" s="27"/>
      <c r="D11" s="12"/>
      <c r="E11" s="26"/>
    </row>
    <row r="12" spans="1:5" ht="22.5" customHeight="1" x14ac:dyDescent="0.2">
      <c r="A12" s="10" t="s">
        <v>19</v>
      </c>
      <c r="B12" s="11" t="s">
        <v>20</v>
      </c>
      <c r="C12" s="26">
        <v>75000</v>
      </c>
      <c r="D12" s="12">
        <f>D2</f>
        <v>2</v>
      </c>
      <c r="E12" s="26">
        <f t="shared" si="0"/>
        <v>150000</v>
      </c>
    </row>
    <row r="13" spans="1:5" ht="22.5" customHeight="1" x14ac:dyDescent="0.2">
      <c r="A13" s="10" t="s">
        <v>58</v>
      </c>
      <c r="B13" s="11" t="s">
        <v>20</v>
      </c>
      <c r="C13" s="26">
        <v>35000</v>
      </c>
      <c r="D13" s="12">
        <f>D2</f>
        <v>2</v>
      </c>
      <c r="E13" s="26">
        <f t="shared" si="0"/>
        <v>70000</v>
      </c>
    </row>
    <row r="14" spans="1:5" ht="22.5" customHeight="1" x14ac:dyDescent="0.2">
      <c r="A14" s="10" t="s">
        <v>21</v>
      </c>
      <c r="B14" s="11" t="s">
        <v>20</v>
      </c>
      <c r="C14" s="26">
        <v>25000</v>
      </c>
      <c r="D14" s="12">
        <f>D2</f>
        <v>2</v>
      </c>
      <c r="E14" s="26">
        <f t="shared" si="0"/>
        <v>50000</v>
      </c>
    </row>
    <row r="15" spans="1:5" ht="22.5" customHeight="1" x14ac:dyDescent="0.2">
      <c r="A15" s="10" t="s">
        <v>22</v>
      </c>
      <c r="B15" s="11" t="s">
        <v>11</v>
      </c>
      <c r="C15" s="26">
        <v>250000</v>
      </c>
      <c r="D15" s="12">
        <f>IF($D$2=4,0,1)</f>
        <v>1</v>
      </c>
      <c r="E15" s="26">
        <f t="shared" si="0"/>
        <v>250000</v>
      </c>
    </row>
    <row r="16" spans="1:5" ht="22.5" customHeight="1" x14ac:dyDescent="0.2">
      <c r="A16" s="10" t="s">
        <v>56</v>
      </c>
      <c r="B16" s="11" t="s">
        <v>20</v>
      </c>
      <c r="C16" s="26">
        <v>65000</v>
      </c>
      <c r="D16" s="12">
        <f>D2</f>
        <v>2</v>
      </c>
      <c r="E16" s="26">
        <f t="shared" si="0"/>
        <v>130000</v>
      </c>
    </row>
    <row r="17" spans="1:5" ht="22.5" customHeight="1" x14ac:dyDescent="0.2">
      <c r="A17" s="10" t="s">
        <v>57</v>
      </c>
      <c r="B17" s="11" t="s">
        <v>20</v>
      </c>
      <c r="C17" s="26">
        <v>65000</v>
      </c>
      <c r="D17" s="12">
        <f>D2</f>
        <v>2</v>
      </c>
      <c r="E17" s="26">
        <f t="shared" si="0"/>
        <v>130000</v>
      </c>
    </row>
    <row r="18" spans="1:5" ht="22.5" customHeight="1" x14ac:dyDescent="0.3">
      <c r="A18" s="9" t="s">
        <v>23</v>
      </c>
      <c r="B18" s="7"/>
      <c r="C18" s="28"/>
      <c r="D18" s="12"/>
      <c r="E18" s="26"/>
    </row>
    <row r="19" spans="1:5" ht="22.5" customHeight="1" x14ac:dyDescent="0.2">
      <c r="A19" s="10" t="s">
        <v>24</v>
      </c>
      <c r="B19" s="11" t="s">
        <v>20</v>
      </c>
      <c r="C19" s="26">
        <v>160000</v>
      </c>
      <c r="D19" s="12">
        <f>D2</f>
        <v>2</v>
      </c>
      <c r="E19" s="26">
        <f t="shared" si="0"/>
        <v>320000</v>
      </c>
    </row>
    <row r="20" spans="1:5" ht="22.5" customHeight="1" x14ac:dyDescent="0.2">
      <c r="A20" s="13" t="s">
        <v>25</v>
      </c>
      <c r="B20" s="11" t="s">
        <v>20</v>
      </c>
      <c r="C20" s="26">
        <v>500000</v>
      </c>
      <c r="D20" s="12">
        <f>ROUNDUP(D2/4,0)</f>
        <v>1</v>
      </c>
      <c r="E20" s="26">
        <f t="shared" si="0"/>
        <v>500000</v>
      </c>
    </row>
    <row r="21" spans="1:5" ht="22.5" customHeight="1" x14ac:dyDescent="0.3">
      <c r="A21" s="14" t="s">
        <v>26</v>
      </c>
      <c r="B21" s="7"/>
      <c r="C21" s="28"/>
      <c r="D21" s="12"/>
      <c r="E21" s="26"/>
    </row>
    <row r="22" spans="1:5" ht="22.5" customHeight="1" x14ac:dyDescent="0.2">
      <c r="A22" s="13" t="s">
        <v>27</v>
      </c>
      <c r="B22" s="11" t="s">
        <v>20</v>
      </c>
      <c r="C22" s="26">
        <v>90000</v>
      </c>
      <c r="D22" s="12">
        <f>D2</f>
        <v>2</v>
      </c>
      <c r="E22" s="26">
        <f t="shared" si="0"/>
        <v>180000</v>
      </c>
    </row>
    <row r="23" spans="1:5" ht="22.5" customHeight="1" x14ac:dyDescent="0.2">
      <c r="A23" s="10" t="s">
        <v>28</v>
      </c>
      <c r="B23" s="11" t="s">
        <v>11</v>
      </c>
      <c r="C23" s="26">
        <v>100000</v>
      </c>
      <c r="D23" s="12">
        <v>1</v>
      </c>
      <c r="E23" s="26">
        <f t="shared" si="0"/>
        <v>100000</v>
      </c>
    </row>
    <row r="24" spans="1:5" ht="22.5" customHeight="1" x14ac:dyDescent="0.3">
      <c r="A24" s="15" t="s">
        <v>29</v>
      </c>
      <c r="B24" s="7"/>
      <c r="C24" s="27"/>
      <c r="D24" s="12"/>
      <c r="E24" s="26"/>
    </row>
    <row r="25" spans="1:5" ht="22.5" customHeight="1" x14ac:dyDescent="0.3">
      <c r="A25" s="9" t="s">
        <v>30</v>
      </c>
      <c r="B25" s="7"/>
      <c r="C25" s="27"/>
      <c r="D25" s="12"/>
      <c r="E25" s="26"/>
    </row>
    <row r="26" spans="1:5" ht="22.5" customHeight="1" x14ac:dyDescent="0.2">
      <c r="A26" s="13" t="s">
        <v>31</v>
      </c>
      <c r="B26" s="11" t="s">
        <v>32</v>
      </c>
      <c r="C26" s="26">
        <v>450000</v>
      </c>
      <c r="D26" s="12">
        <f>IF($D$2=1,$C$2, IF($D$2=2,$C$2,0))</f>
        <v>3</v>
      </c>
      <c r="E26" s="26">
        <f t="shared" ref="E26:E36" si="1">C26*D26</f>
        <v>1350000</v>
      </c>
    </row>
    <row r="27" spans="1:5" ht="22.5" customHeight="1" x14ac:dyDescent="0.3">
      <c r="A27" s="9" t="s">
        <v>35</v>
      </c>
      <c r="B27" s="7"/>
      <c r="C27" s="27"/>
      <c r="D27" s="12"/>
      <c r="E27" s="26"/>
    </row>
    <row r="28" spans="1:5" ht="22.5" customHeight="1" x14ac:dyDescent="0.2">
      <c r="A28" s="13" t="s">
        <v>36</v>
      </c>
      <c r="B28" s="11" t="s">
        <v>11</v>
      </c>
      <c r="C28" s="26">
        <v>200000</v>
      </c>
      <c r="D28" s="12">
        <f>IF((($D$2&gt;=10)*($D$2&lt;=11))=1,2,1)</f>
        <v>1</v>
      </c>
      <c r="E28" s="26">
        <f t="shared" si="1"/>
        <v>200000</v>
      </c>
    </row>
    <row r="29" spans="1:5" ht="22.5" customHeight="1" x14ac:dyDescent="0.3">
      <c r="A29" s="15" t="s">
        <v>38</v>
      </c>
      <c r="B29" s="7"/>
      <c r="C29" s="27"/>
      <c r="D29" s="12"/>
      <c r="E29" s="26">
        <f t="shared" si="1"/>
        <v>0</v>
      </c>
    </row>
    <row r="30" spans="1:5" ht="22.5" customHeight="1" x14ac:dyDescent="0.3">
      <c r="A30" s="9" t="s">
        <v>39</v>
      </c>
      <c r="B30" s="7"/>
      <c r="C30" s="27"/>
      <c r="D30" s="12"/>
      <c r="E30" s="26">
        <f t="shared" si="1"/>
        <v>0</v>
      </c>
    </row>
    <row r="31" spans="1:5" ht="22.5" customHeight="1" x14ac:dyDescent="0.2">
      <c r="A31" s="13" t="s">
        <v>40</v>
      </c>
      <c r="B31" s="11" t="s">
        <v>32</v>
      </c>
      <c r="C31" s="26">
        <v>250000</v>
      </c>
      <c r="D31" s="12">
        <f>IF((($D$2&gt;=1)*($D$2&lt;=3))=1,$C$2,0)</f>
        <v>3</v>
      </c>
      <c r="E31" s="26">
        <f t="shared" si="1"/>
        <v>750000</v>
      </c>
    </row>
    <row r="32" spans="1:5" ht="22.5" customHeight="1" x14ac:dyDescent="0.3">
      <c r="A32" s="15" t="s">
        <v>42</v>
      </c>
      <c r="B32" s="7"/>
      <c r="C32" s="27"/>
      <c r="D32" s="12"/>
      <c r="E32" s="26">
        <f t="shared" si="1"/>
        <v>0</v>
      </c>
    </row>
    <row r="33" spans="1:5" ht="22.5" customHeight="1" x14ac:dyDescent="0.3">
      <c r="A33" s="9" t="s">
        <v>43</v>
      </c>
      <c r="B33" s="7"/>
      <c r="C33" s="27"/>
      <c r="D33" s="12"/>
      <c r="E33" s="26">
        <f t="shared" si="1"/>
        <v>0</v>
      </c>
    </row>
    <row r="34" spans="1:5" ht="22.5" customHeight="1" x14ac:dyDescent="0.2">
      <c r="A34" s="13" t="s">
        <v>44</v>
      </c>
      <c r="B34" s="11" t="s">
        <v>45</v>
      </c>
      <c r="C34" s="26">
        <v>50000</v>
      </c>
      <c r="D34" s="12">
        <f>ROUNDUP(D2*C2*3/24,0)</f>
        <v>1</v>
      </c>
      <c r="E34" s="26">
        <f t="shared" si="1"/>
        <v>50000</v>
      </c>
    </row>
    <row r="35" spans="1:5" ht="22.5" customHeight="1" x14ac:dyDescent="0.2">
      <c r="A35" s="13" t="s">
        <v>46</v>
      </c>
      <c r="B35" s="11" t="s">
        <v>47</v>
      </c>
      <c r="C35" s="26">
        <v>100000</v>
      </c>
      <c r="D35" s="12">
        <v>1</v>
      </c>
      <c r="E35" s="26">
        <f t="shared" si="1"/>
        <v>100000</v>
      </c>
    </row>
    <row r="36" spans="1:5" ht="22.5" customHeight="1" x14ac:dyDescent="0.2">
      <c r="A36" s="13" t="s">
        <v>48</v>
      </c>
      <c r="B36" s="11" t="s">
        <v>20</v>
      </c>
      <c r="C36" s="26">
        <v>60000</v>
      </c>
      <c r="D36" s="12">
        <f>D2</f>
        <v>2</v>
      </c>
      <c r="E36" s="26">
        <f t="shared" si="1"/>
        <v>120000</v>
      </c>
    </row>
    <row r="37" spans="1:5" s="1" customFormat="1" ht="30" customHeight="1" x14ac:dyDescent="0.2">
      <c r="A37" s="17" t="s">
        <v>49</v>
      </c>
      <c r="B37" s="16"/>
      <c r="C37" s="5"/>
      <c r="D37" s="12"/>
      <c r="E37" s="29">
        <f>SUM(E7:E36)</f>
        <v>5537500</v>
      </c>
    </row>
    <row r="38" spans="1:5" ht="36" customHeight="1" x14ac:dyDescent="0.2">
      <c r="A38" s="17" t="s">
        <v>50</v>
      </c>
      <c r="B38" s="8"/>
      <c r="C38" s="8"/>
      <c r="D38" s="8"/>
      <c r="E38" s="29">
        <f>E37/D2</f>
        <v>2768750</v>
      </c>
    </row>
  </sheetData>
  <pageMargins left="0.7" right="0.7" top="0.75" bottom="0.75" header="0.3" footer="0.3"/>
  <pageSetup paperSize="9" scale="49" fitToHeight="0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584C7-2A4A-4E48-B39F-CEAEC57B5344}">
  <sheetPr>
    <pageSetUpPr fitToPage="1"/>
  </sheetPr>
  <dimension ref="A1:N38"/>
  <sheetViews>
    <sheetView topLeftCell="A6" zoomScale="70" zoomScaleNormal="70" workbookViewId="0">
      <selection sqref="A1:E38"/>
    </sheetView>
  </sheetViews>
  <sheetFormatPr defaultColWidth="9" defaultRowHeight="12.75" x14ac:dyDescent="0.2"/>
  <cols>
    <col min="1" max="1" width="99" bestFit="1" customWidth="1"/>
    <col min="2" max="2" width="20.6640625" customWidth="1"/>
    <col min="3" max="3" width="29.1640625" customWidth="1"/>
    <col min="4" max="4" width="21.6640625" customWidth="1"/>
    <col min="5" max="5" width="25.33203125" customWidth="1"/>
    <col min="6" max="6" width="9.33203125"/>
    <col min="7" max="7" width="10.33203125" bestFit="1" customWidth="1"/>
    <col min="8" max="8" width="7" bestFit="1" customWidth="1"/>
    <col min="9" max="10" width="20.83203125" bestFit="1" customWidth="1"/>
    <col min="11" max="11" width="18.6640625" bestFit="1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14" ht="25.5" customHeight="1" x14ac:dyDescent="0.2">
      <c r="A1" s="2" t="s">
        <v>0</v>
      </c>
      <c r="B1" s="2"/>
      <c r="C1" s="2" t="s">
        <v>2</v>
      </c>
      <c r="D1" s="2" t="s">
        <v>3</v>
      </c>
      <c r="E1" s="2" t="s">
        <v>60</v>
      </c>
    </row>
    <row r="2" spans="1:14" ht="27.75" customHeight="1" x14ac:dyDescent="0.2">
      <c r="A2" s="3" t="s">
        <v>59</v>
      </c>
      <c r="B2" s="3"/>
      <c r="C2" s="3">
        <v>3</v>
      </c>
      <c r="D2" s="30">
        <v>3</v>
      </c>
      <c r="E2" s="51">
        <v>3275000</v>
      </c>
    </row>
    <row r="3" spans="1:14" ht="27.75" customHeight="1" x14ac:dyDescent="0.2">
      <c r="A3" s="4"/>
      <c r="B3" s="4"/>
      <c r="C3" s="4"/>
    </row>
    <row r="4" spans="1:14" ht="35.25" customHeight="1" x14ac:dyDescent="0.2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</row>
    <row r="5" spans="1:14" ht="22.5" customHeight="1" x14ac:dyDescent="0.3">
      <c r="A5" s="6" t="s">
        <v>9</v>
      </c>
      <c r="B5" s="7"/>
      <c r="C5" s="7"/>
      <c r="D5" s="8"/>
      <c r="E5" s="8"/>
    </row>
    <row r="6" spans="1:14" ht="22.5" customHeight="1" x14ac:dyDescent="0.3">
      <c r="A6" s="9" t="s">
        <v>10</v>
      </c>
      <c r="B6" s="7"/>
      <c r="C6" s="7"/>
      <c r="D6" s="8"/>
      <c r="E6" s="8"/>
    </row>
    <row r="7" spans="1:14" ht="22.5" customHeight="1" x14ac:dyDescent="0.25">
      <c r="A7" s="10" t="s">
        <v>13</v>
      </c>
      <c r="B7" s="11" t="s">
        <v>11</v>
      </c>
      <c r="C7" s="26">
        <v>562500</v>
      </c>
      <c r="D7" s="12">
        <v>1</v>
      </c>
      <c r="E7" s="26">
        <f>C7*D7</f>
        <v>562500</v>
      </c>
      <c r="H7" s="19"/>
      <c r="I7" s="20"/>
      <c r="J7" s="20"/>
      <c r="K7" s="21"/>
      <c r="L7" s="21"/>
      <c r="M7" s="21"/>
      <c r="N7" s="21"/>
    </row>
    <row r="8" spans="1:14" ht="22.5" customHeight="1" x14ac:dyDescent="0.3">
      <c r="A8" s="9" t="s">
        <v>14</v>
      </c>
      <c r="B8" s="7"/>
      <c r="C8" s="27"/>
      <c r="D8" s="12"/>
      <c r="E8" s="26"/>
    </row>
    <row r="9" spans="1:14" ht="22.5" customHeight="1" x14ac:dyDescent="0.2">
      <c r="A9" s="10" t="s">
        <v>16</v>
      </c>
      <c r="B9" s="11" t="s">
        <v>11</v>
      </c>
      <c r="C9" s="26">
        <v>950000</v>
      </c>
      <c r="D9" s="12">
        <v>1</v>
      </c>
      <c r="E9" s="26">
        <f t="shared" ref="E9:E23" si="0">C9*D9</f>
        <v>950000</v>
      </c>
    </row>
    <row r="10" spans="1:14" ht="22.5" customHeight="1" x14ac:dyDescent="0.3">
      <c r="A10" s="6" t="s">
        <v>17</v>
      </c>
      <c r="B10" s="7"/>
      <c r="C10" s="27"/>
      <c r="D10" s="12"/>
      <c r="E10" s="26">
        <f t="shared" si="0"/>
        <v>0</v>
      </c>
    </row>
    <row r="11" spans="1:14" ht="22.5" customHeight="1" x14ac:dyDescent="0.3">
      <c r="A11" s="9" t="s">
        <v>18</v>
      </c>
      <c r="B11" s="7"/>
      <c r="C11" s="27"/>
      <c r="D11" s="12"/>
      <c r="E11" s="26">
        <f t="shared" si="0"/>
        <v>0</v>
      </c>
    </row>
    <row r="12" spans="1:14" ht="22.5" customHeight="1" x14ac:dyDescent="0.2">
      <c r="A12" s="10" t="s">
        <v>19</v>
      </c>
      <c r="B12" s="11" t="s">
        <v>20</v>
      </c>
      <c r="C12" s="26">
        <v>75000</v>
      </c>
      <c r="D12" s="12">
        <f>D2</f>
        <v>3</v>
      </c>
      <c r="E12" s="26">
        <f t="shared" si="0"/>
        <v>225000</v>
      </c>
    </row>
    <row r="13" spans="1:14" ht="22.5" customHeight="1" x14ac:dyDescent="0.2">
      <c r="A13" s="10" t="s">
        <v>58</v>
      </c>
      <c r="B13" s="11" t="s">
        <v>20</v>
      </c>
      <c r="C13" s="26">
        <v>35000</v>
      </c>
      <c r="D13" s="12">
        <f>D2</f>
        <v>3</v>
      </c>
      <c r="E13" s="26">
        <f t="shared" si="0"/>
        <v>105000</v>
      </c>
    </row>
    <row r="14" spans="1:14" ht="22.5" customHeight="1" x14ac:dyDescent="0.2">
      <c r="A14" s="10" t="s">
        <v>21</v>
      </c>
      <c r="B14" s="11" t="s">
        <v>20</v>
      </c>
      <c r="C14" s="26">
        <v>25000</v>
      </c>
      <c r="D14" s="12">
        <f>D2</f>
        <v>3</v>
      </c>
      <c r="E14" s="26">
        <f t="shared" si="0"/>
        <v>75000</v>
      </c>
    </row>
    <row r="15" spans="1:14" ht="22.5" customHeight="1" x14ac:dyDescent="0.2">
      <c r="A15" s="10" t="s">
        <v>22</v>
      </c>
      <c r="B15" s="11" t="s">
        <v>11</v>
      </c>
      <c r="C15" s="26">
        <v>250000</v>
      </c>
      <c r="D15" s="12">
        <f>IF($D$2=4,0,1)</f>
        <v>1</v>
      </c>
      <c r="E15" s="26">
        <f t="shared" si="0"/>
        <v>250000</v>
      </c>
    </row>
    <row r="16" spans="1:14" ht="22.5" customHeight="1" x14ac:dyDescent="0.2">
      <c r="A16" s="13" t="s">
        <v>56</v>
      </c>
      <c r="B16" s="11" t="s">
        <v>20</v>
      </c>
      <c r="C16" s="26">
        <v>65000</v>
      </c>
      <c r="D16" s="12">
        <f>D2</f>
        <v>3</v>
      </c>
      <c r="E16" s="26">
        <f t="shared" si="0"/>
        <v>195000</v>
      </c>
    </row>
    <row r="17" spans="1:5" ht="22.5" customHeight="1" x14ac:dyDescent="0.2">
      <c r="A17" s="13" t="s">
        <v>57</v>
      </c>
      <c r="B17" s="11" t="s">
        <v>20</v>
      </c>
      <c r="C17" s="26">
        <v>65000</v>
      </c>
      <c r="D17" s="12">
        <f>D2</f>
        <v>3</v>
      </c>
      <c r="E17" s="26">
        <f t="shared" si="0"/>
        <v>195000</v>
      </c>
    </row>
    <row r="18" spans="1:5" ht="22.5" customHeight="1" x14ac:dyDescent="0.3">
      <c r="A18" s="9" t="s">
        <v>23</v>
      </c>
      <c r="B18" s="7"/>
      <c r="C18" s="28"/>
      <c r="D18" s="12"/>
      <c r="E18" s="26"/>
    </row>
    <row r="19" spans="1:5" ht="22.5" customHeight="1" x14ac:dyDescent="0.2">
      <c r="A19" s="10" t="s">
        <v>24</v>
      </c>
      <c r="B19" s="11" t="s">
        <v>20</v>
      </c>
      <c r="C19" s="26">
        <v>160000</v>
      </c>
      <c r="D19" s="12">
        <f>D2</f>
        <v>3</v>
      </c>
      <c r="E19" s="26">
        <f t="shared" si="0"/>
        <v>480000</v>
      </c>
    </row>
    <row r="20" spans="1:5" ht="22.5" customHeight="1" x14ac:dyDescent="0.2">
      <c r="A20" s="13" t="s">
        <v>25</v>
      </c>
      <c r="B20" s="11" t="s">
        <v>20</v>
      </c>
      <c r="C20" s="26">
        <v>500000</v>
      </c>
      <c r="D20" s="12">
        <f>ROUNDUP(D2/4,0)</f>
        <v>1</v>
      </c>
      <c r="E20" s="26">
        <f t="shared" si="0"/>
        <v>500000</v>
      </c>
    </row>
    <row r="21" spans="1:5" ht="22.5" customHeight="1" x14ac:dyDescent="0.3">
      <c r="A21" s="14" t="s">
        <v>26</v>
      </c>
      <c r="B21" s="7"/>
      <c r="C21" s="28"/>
      <c r="D21" s="12"/>
      <c r="E21" s="26"/>
    </row>
    <row r="22" spans="1:5" ht="22.5" customHeight="1" x14ac:dyDescent="0.2">
      <c r="A22" s="13" t="s">
        <v>27</v>
      </c>
      <c r="B22" s="11" t="s">
        <v>20</v>
      </c>
      <c r="C22" s="26">
        <v>90000</v>
      </c>
      <c r="D22" s="12">
        <f>D2</f>
        <v>3</v>
      </c>
      <c r="E22" s="26">
        <f t="shared" si="0"/>
        <v>270000</v>
      </c>
    </row>
    <row r="23" spans="1:5" ht="22.5" customHeight="1" x14ac:dyDescent="0.2">
      <c r="A23" s="10" t="s">
        <v>28</v>
      </c>
      <c r="B23" s="11" t="s">
        <v>11</v>
      </c>
      <c r="C23" s="26">
        <v>100000</v>
      </c>
      <c r="D23" s="12">
        <v>1</v>
      </c>
      <c r="E23" s="26">
        <f t="shared" si="0"/>
        <v>100000</v>
      </c>
    </row>
    <row r="24" spans="1:5" ht="22.5" customHeight="1" x14ac:dyDescent="0.3">
      <c r="A24" s="15" t="s">
        <v>29</v>
      </c>
      <c r="B24" s="7"/>
      <c r="C24" s="27"/>
      <c r="D24" s="12"/>
      <c r="E24" s="26"/>
    </row>
    <row r="25" spans="1:5" ht="22.5" customHeight="1" x14ac:dyDescent="0.3">
      <c r="A25" s="9" t="s">
        <v>30</v>
      </c>
      <c r="B25" s="7"/>
      <c r="C25" s="27"/>
      <c r="D25" s="12"/>
      <c r="E25" s="26"/>
    </row>
    <row r="26" spans="1:5" ht="22.5" customHeight="1" x14ac:dyDescent="0.2">
      <c r="A26" s="13" t="s">
        <v>31</v>
      </c>
      <c r="B26" s="11" t="s">
        <v>32</v>
      </c>
      <c r="C26" s="26">
        <v>450000</v>
      </c>
      <c r="D26" s="12">
        <v>3</v>
      </c>
      <c r="E26" s="26">
        <f t="shared" ref="E26:E36" si="1">C26*D26</f>
        <v>1350000</v>
      </c>
    </row>
    <row r="27" spans="1:5" ht="22.5" customHeight="1" x14ac:dyDescent="0.3">
      <c r="A27" s="9" t="s">
        <v>35</v>
      </c>
      <c r="B27" s="7"/>
      <c r="C27" s="27"/>
      <c r="D27" s="12"/>
      <c r="E27" s="26"/>
    </row>
    <row r="28" spans="1:5" ht="22.5" customHeight="1" x14ac:dyDescent="0.2">
      <c r="A28" s="13" t="s">
        <v>36</v>
      </c>
      <c r="B28" s="11" t="s">
        <v>11</v>
      </c>
      <c r="C28" s="26">
        <v>200000</v>
      </c>
      <c r="D28" s="12">
        <f>IF((($D$2&gt;=10)*($D$2&lt;=11))=1,2,1)</f>
        <v>1</v>
      </c>
      <c r="E28" s="26">
        <f t="shared" si="1"/>
        <v>200000</v>
      </c>
    </row>
    <row r="29" spans="1:5" ht="22.5" customHeight="1" x14ac:dyDescent="0.3">
      <c r="A29" s="15" t="s">
        <v>38</v>
      </c>
      <c r="B29" s="7"/>
      <c r="C29" s="27"/>
      <c r="D29" s="12"/>
      <c r="E29" s="26"/>
    </row>
    <row r="30" spans="1:5" ht="22.5" customHeight="1" x14ac:dyDescent="0.3">
      <c r="A30" s="9" t="s">
        <v>39</v>
      </c>
      <c r="B30" s="7"/>
      <c r="C30" s="27"/>
      <c r="D30" s="12"/>
      <c r="E30" s="26"/>
    </row>
    <row r="31" spans="1:5" ht="22.5" customHeight="1" x14ac:dyDescent="0.2">
      <c r="A31" s="13" t="s">
        <v>40</v>
      </c>
      <c r="B31" s="11" t="s">
        <v>32</v>
      </c>
      <c r="C31" s="26">
        <v>250000</v>
      </c>
      <c r="D31" s="12">
        <f>IF((($D$2&gt;=1)*($D$2&lt;=3))=1,$C$2,0)</f>
        <v>3</v>
      </c>
      <c r="E31" s="26">
        <f t="shared" si="1"/>
        <v>750000</v>
      </c>
    </row>
    <row r="32" spans="1:5" ht="22.5" customHeight="1" x14ac:dyDescent="0.3">
      <c r="A32" s="15" t="s">
        <v>42</v>
      </c>
      <c r="B32" s="7"/>
      <c r="C32" s="27"/>
      <c r="D32" s="12"/>
      <c r="E32" s="26"/>
    </row>
    <row r="33" spans="1:5" ht="22.5" customHeight="1" x14ac:dyDescent="0.3">
      <c r="A33" s="9" t="s">
        <v>43</v>
      </c>
      <c r="B33" s="7"/>
      <c r="C33" s="27"/>
      <c r="D33" s="12"/>
      <c r="E33" s="26"/>
    </row>
    <row r="34" spans="1:5" ht="22.5" customHeight="1" x14ac:dyDescent="0.2">
      <c r="A34" s="13" t="s">
        <v>44</v>
      </c>
      <c r="B34" s="11" t="s">
        <v>45</v>
      </c>
      <c r="C34" s="26">
        <v>50000</v>
      </c>
      <c r="D34" s="12">
        <v>1</v>
      </c>
      <c r="E34" s="26">
        <f t="shared" si="1"/>
        <v>50000</v>
      </c>
    </row>
    <row r="35" spans="1:5" ht="22.5" customHeight="1" x14ac:dyDescent="0.2">
      <c r="A35" s="13" t="s">
        <v>46</v>
      </c>
      <c r="B35" s="11" t="s">
        <v>47</v>
      </c>
      <c r="C35" s="26">
        <v>100000</v>
      </c>
      <c r="D35" s="12">
        <v>1</v>
      </c>
      <c r="E35" s="26">
        <f t="shared" si="1"/>
        <v>100000</v>
      </c>
    </row>
    <row r="36" spans="1:5" ht="22.5" customHeight="1" x14ac:dyDescent="0.2">
      <c r="A36" s="13" t="s">
        <v>48</v>
      </c>
      <c r="B36" s="11" t="s">
        <v>20</v>
      </c>
      <c r="C36" s="26">
        <v>60000</v>
      </c>
      <c r="D36" s="12">
        <f>D2</f>
        <v>3</v>
      </c>
      <c r="E36" s="26">
        <f t="shared" si="1"/>
        <v>180000</v>
      </c>
    </row>
    <row r="37" spans="1:5" s="1" customFormat="1" ht="30" customHeight="1" x14ac:dyDescent="0.2">
      <c r="A37" s="17" t="s">
        <v>49</v>
      </c>
      <c r="B37" s="16"/>
      <c r="C37" s="5"/>
      <c r="D37" s="12"/>
      <c r="E37" s="29">
        <f>SUM(E7:E36)</f>
        <v>6537500</v>
      </c>
    </row>
    <row r="38" spans="1:5" ht="36" customHeight="1" x14ac:dyDescent="0.2">
      <c r="A38" s="17" t="s">
        <v>50</v>
      </c>
      <c r="B38" s="8"/>
      <c r="C38" s="8"/>
      <c r="D38" s="8"/>
      <c r="E38" s="29">
        <f>E37/D2</f>
        <v>2179166.6666666665</v>
      </c>
    </row>
  </sheetData>
  <pageMargins left="0.25" right="0.25" top="0.75" bottom="0.75" header="0.3" footer="0.3"/>
  <pageSetup paperSize="9" scale="57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80008-682B-F546-843F-7D2B370A5A83}">
  <sheetPr>
    <pageSetUpPr fitToPage="1"/>
  </sheetPr>
  <dimension ref="A1:E37"/>
  <sheetViews>
    <sheetView topLeftCell="A5" zoomScale="70" zoomScaleNormal="70" workbookViewId="0">
      <selection sqref="A1:E37"/>
    </sheetView>
  </sheetViews>
  <sheetFormatPr defaultColWidth="9" defaultRowHeight="12.75" x14ac:dyDescent="0.2"/>
  <cols>
    <col min="1" max="1" width="99" bestFit="1" customWidth="1"/>
    <col min="2" max="2" width="20.6640625" customWidth="1"/>
    <col min="3" max="3" width="29.1640625" customWidth="1"/>
    <col min="4" max="4" width="21.6640625" customWidth="1"/>
    <col min="5" max="5" width="25.33203125" customWidth="1"/>
    <col min="8" max="8" width="7" bestFit="1" customWidth="1"/>
    <col min="9" max="10" width="20.83203125" bestFit="1" customWidth="1"/>
    <col min="11" max="11" width="18.6640625" bestFit="1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5" ht="25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60</v>
      </c>
    </row>
    <row r="2" spans="1:5" ht="27.75" customHeight="1" x14ac:dyDescent="0.2">
      <c r="A2" s="3" t="s">
        <v>59</v>
      </c>
      <c r="B2" s="3">
        <v>29</v>
      </c>
      <c r="C2" s="3">
        <v>3</v>
      </c>
      <c r="D2" s="30">
        <v>4</v>
      </c>
      <c r="E2" s="52">
        <v>3050000</v>
      </c>
    </row>
    <row r="3" spans="1:5" ht="27.75" customHeight="1" x14ac:dyDescent="0.2">
      <c r="A3" s="4"/>
      <c r="B3" s="4"/>
      <c r="C3" s="4"/>
    </row>
    <row r="4" spans="1:5" ht="35.25" customHeight="1" x14ac:dyDescent="0.2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</row>
    <row r="5" spans="1:5" ht="22.5" customHeight="1" x14ac:dyDescent="0.3">
      <c r="A5" s="6" t="s">
        <v>9</v>
      </c>
      <c r="B5" s="7"/>
      <c r="C5" s="7"/>
      <c r="D5" s="8"/>
      <c r="E5" s="8"/>
    </row>
    <row r="6" spans="1:5" ht="22.5" customHeight="1" x14ac:dyDescent="0.3">
      <c r="A6" s="9" t="s">
        <v>10</v>
      </c>
      <c r="B6" s="7"/>
      <c r="C6" s="7"/>
      <c r="D6" s="8"/>
      <c r="E6" s="8"/>
    </row>
    <row r="7" spans="1:5" ht="22.5" customHeight="1" x14ac:dyDescent="0.2">
      <c r="A7" s="10" t="s">
        <v>12</v>
      </c>
      <c r="B7" s="11" t="s">
        <v>11</v>
      </c>
      <c r="C7" s="26">
        <v>337500</v>
      </c>
      <c r="D7" s="12">
        <f>ROUNDUP(D2/2,0)</f>
        <v>2</v>
      </c>
      <c r="E7" s="26">
        <f>C7*D7</f>
        <v>675000</v>
      </c>
    </row>
    <row r="8" spans="1:5" ht="22.5" customHeight="1" x14ac:dyDescent="0.3">
      <c r="A8" s="9" t="s">
        <v>14</v>
      </c>
      <c r="B8" s="7"/>
      <c r="C8" s="27"/>
      <c r="D8" s="12"/>
      <c r="E8" s="26"/>
    </row>
    <row r="9" spans="1:5" ht="22.5" customHeight="1" x14ac:dyDescent="0.2">
      <c r="A9" s="10" t="s">
        <v>15</v>
      </c>
      <c r="B9" s="11" t="s">
        <v>11</v>
      </c>
      <c r="C9" s="26">
        <v>750000</v>
      </c>
      <c r="D9" s="12">
        <f>ROUNDUP(D2/2,0)</f>
        <v>2</v>
      </c>
      <c r="E9" s="26">
        <f t="shared" ref="E9:E22" si="0">C9*D9</f>
        <v>1500000</v>
      </c>
    </row>
    <row r="10" spans="1:5" ht="22.5" customHeight="1" x14ac:dyDescent="0.3">
      <c r="A10" s="6" t="s">
        <v>17</v>
      </c>
      <c r="B10" s="7"/>
      <c r="C10" s="27"/>
      <c r="D10" s="12"/>
      <c r="E10" s="26"/>
    </row>
    <row r="11" spans="1:5" ht="22.5" customHeight="1" x14ac:dyDescent="0.3">
      <c r="A11" s="9" t="s">
        <v>18</v>
      </c>
      <c r="B11" s="7"/>
      <c r="C11" s="27"/>
      <c r="D11" s="12"/>
      <c r="E11" s="26"/>
    </row>
    <row r="12" spans="1:5" ht="22.5" customHeight="1" x14ac:dyDescent="0.2">
      <c r="A12" s="10" t="s">
        <v>19</v>
      </c>
      <c r="B12" s="11" t="s">
        <v>20</v>
      </c>
      <c r="C12" s="26">
        <v>75000</v>
      </c>
      <c r="D12" s="12">
        <f>D2</f>
        <v>4</v>
      </c>
      <c r="E12" s="26">
        <f t="shared" si="0"/>
        <v>300000</v>
      </c>
    </row>
    <row r="13" spans="1:5" ht="22.5" customHeight="1" x14ac:dyDescent="0.2">
      <c r="A13" s="13" t="s">
        <v>58</v>
      </c>
      <c r="B13" s="11" t="s">
        <v>20</v>
      </c>
      <c r="C13" s="26">
        <v>35000</v>
      </c>
      <c r="D13" s="12">
        <f>D2</f>
        <v>4</v>
      </c>
      <c r="E13" s="26">
        <f t="shared" si="0"/>
        <v>140000</v>
      </c>
    </row>
    <row r="14" spans="1:5" ht="22.5" customHeight="1" x14ac:dyDescent="0.2">
      <c r="A14" s="10" t="s">
        <v>21</v>
      </c>
      <c r="B14" s="11" t="s">
        <v>20</v>
      </c>
      <c r="C14" s="26">
        <v>25000</v>
      </c>
      <c r="D14" s="12">
        <f>D2</f>
        <v>4</v>
      </c>
      <c r="E14" s="26">
        <f t="shared" si="0"/>
        <v>100000</v>
      </c>
    </row>
    <row r="15" spans="1:5" ht="22.5" customHeight="1" x14ac:dyDescent="0.2">
      <c r="A15" s="13" t="s">
        <v>56</v>
      </c>
      <c r="B15" s="11" t="s">
        <v>20</v>
      </c>
      <c r="C15" s="26">
        <v>65000</v>
      </c>
      <c r="D15" s="12">
        <f>D2</f>
        <v>4</v>
      </c>
      <c r="E15" s="26">
        <f t="shared" si="0"/>
        <v>260000</v>
      </c>
    </row>
    <row r="16" spans="1:5" ht="22.5" customHeight="1" x14ac:dyDescent="0.2">
      <c r="A16" s="13" t="s">
        <v>57</v>
      </c>
      <c r="B16" s="11" t="s">
        <v>20</v>
      </c>
      <c r="C16" s="26">
        <v>65000</v>
      </c>
      <c r="D16" s="12">
        <f>D2</f>
        <v>4</v>
      </c>
      <c r="E16" s="26">
        <f t="shared" si="0"/>
        <v>260000</v>
      </c>
    </row>
    <row r="17" spans="1:5" ht="22.5" customHeight="1" x14ac:dyDescent="0.3">
      <c r="A17" s="9" t="s">
        <v>23</v>
      </c>
      <c r="B17" s="7"/>
      <c r="C17" s="28"/>
      <c r="D17" s="12"/>
      <c r="E17" s="26"/>
    </row>
    <row r="18" spans="1:5" ht="22.5" customHeight="1" x14ac:dyDescent="0.2">
      <c r="A18" s="10" t="s">
        <v>24</v>
      </c>
      <c r="B18" s="11" t="s">
        <v>20</v>
      </c>
      <c r="C18" s="26">
        <v>160000</v>
      </c>
      <c r="D18" s="12">
        <f>D2</f>
        <v>4</v>
      </c>
      <c r="E18" s="26">
        <f t="shared" si="0"/>
        <v>640000</v>
      </c>
    </row>
    <row r="19" spans="1:5" ht="22.5" customHeight="1" x14ac:dyDescent="0.2">
      <c r="A19" s="13" t="s">
        <v>25</v>
      </c>
      <c r="B19" s="11" t="s">
        <v>20</v>
      </c>
      <c r="C19" s="26">
        <v>500000</v>
      </c>
      <c r="D19" s="12">
        <f>ROUNDUP(D2/4,0)</f>
        <v>1</v>
      </c>
      <c r="E19" s="26">
        <f t="shared" si="0"/>
        <v>500000</v>
      </c>
    </row>
    <row r="20" spans="1:5" ht="22.5" customHeight="1" x14ac:dyDescent="0.3">
      <c r="A20" s="14" t="s">
        <v>26</v>
      </c>
      <c r="B20" s="7"/>
      <c r="C20" s="28"/>
      <c r="D20" s="12"/>
      <c r="E20" s="26"/>
    </row>
    <row r="21" spans="1:5" ht="22.5" customHeight="1" x14ac:dyDescent="0.2">
      <c r="A21" s="13" t="s">
        <v>27</v>
      </c>
      <c r="B21" s="11" t="s">
        <v>20</v>
      </c>
      <c r="C21" s="26">
        <v>90000</v>
      </c>
      <c r="D21" s="12">
        <f>D2</f>
        <v>4</v>
      </c>
      <c r="E21" s="26">
        <f t="shared" si="0"/>
        <v>360000</v>
      </c>
    </row>
    <row r="22" spans="1:5" ht="22.5" customHeight="1" x14ac:dyDescent="0.2">
      <c r="A22" s="10" t="s">
        <v>28</v>
      </c>
      <c r="B22" s="11" t="s">
        <v>11</v>
      </c>
      <c r="C22" s="26">
        <v>100000</v>
      </c>
      <c r="D22" s="12">
        <v>1</v>
      </c>
      <c r="E22" s="26">
        <f t="shared" si="0"/>
        <v>100000</v>
      </c>
    </row>
    <row r="23" spans="1:5" ht="22.5" customHeight="1" x14ac:dyDescent="0.3">
      <c r="A23" s="15" t="s">
        <v>29</v>
      </c>
      <c r="B23" s="7"/>
      <c r="C23" s="27"/>
      <c r="D23" s="12"/>
      <c r="E23" s="26"/>
    </row>
    <row r="24" spans="1:5" ht="22.5" customHeight="1" x14ac:dyDescent="0.3">
      <c r="A24" s="9" t="s">
        <v>30</v>
      </c>
      <c r="B24" s="7"/>
      <c r="C24" s="27"/>
      <c r="D24" s="12"/>
      <c r="E24" s="26"/>
    </row>
    <row r="25" spans="1:5" ht="22.5" customHeight="1" x14ac:dyDescent="0.2">
      <c r="A25" s="10" t="s">
        <v>33</v>
      </c>
      <c r="B25" s="11" t="s">
        <v>32</v>
      </c>
      <c r="C25" s="26">
        <v>1100000</v>
      </c>
      <c r="D25" s="12">
        <f>IF((($D$2&gt;=4)*($D$2&lt;=11))=1,$C$2,0)</f>
        <v>3</v>
      </c>
      <c r="E25" s="26">
        <f t="shared" ref="E25:E35" si="1">C25*D25</f>
        <v>3300000</v>
      </c>
    </row>
    <row r="26" spans="1:5" ht="22.5" customHeight="1" x14ac:dyDescent="0.3">
      <c r="A26" s="9" t="s">
        <v>35</v>
      </c>
      <c r="B26" s="7"/>
      <c r="C26" s="27"/>
      <c r="D26" s="12"/>
      <c r="E26" s="26"/>
    </row>
    <row r="27" spans="1:5" ht="22.5" customHeight="1" x14ac:dyDescent="0.2">
      <c r="A27" s="13" t="s">
        <v>36</v>
      </c>
      <c r="B27" s="11" t="s">
        <v>11</v>
      </c>
      <c r="C27" s="26">
        <v>200000</v>
      </c>
      <c r="D27" s="12">
        <f>IF((($D$2&gt;=10)*($D$2&lt;=11))=1,2,1)</f>
        <v>1</v>
      </c>
      <c r="E27" s="26">
        <f t="shared" si="1"/>
        <v>200000</v>
      </c>
    </row>
    <row r="28" spans="1:5" ht="22.5" customHeight="1" x14ac:dyDescent="0.3">
      <c r="A28" s="15" t="s">
        <v>38</v>
      </c>
      <c r="B28" s="7"/>
      <c r="C28" s="27"/>
      <c r="D28" s="12"/>
      <c r="E28" s="26"/>
    </row>
    <row r="29" spans="1:5" ht="22.5" customHeight="1" x14ac:dyDescent="0.3">
      <c r="A29" s="9" t="s">
        <v>39</v>
      </c>
      <c r="B29" s="7"/>
      <c r="C29" s="27"/>
      <c r="D29" s="12"/>
      <c r="E29" s="26"/>
    </row>
    <row r="30" spans="1:5" ht="22.5" customHeight="1" x14ac:dyDescent="0.2">
      <c r="A30" s="10" t="s">
        <v>41</v>
      </c>
      <c r="B30" s="11" t="s">
        <v>32</v>
      </c>
      <c r="C30" s="26">
        <v>250000</v>
      </c>
      <c r="D30" s="12">
        <f>IF((($D$2&gt;=4)*($D$2&lt;=11))=1,$C$2,0)</f>
        <v>3</v>
      </c>
      <c r="E30" s="26">
        <f t="shared" si="1"/>
        <v>750000</v>
      </c>
    </row>
    <row r="31" spans="1:5" ht="22.5" customHeight="1" x14ac:dyDescent="0.3">
      <c r="A31" s="15" t="s">
        <v>42</v>
      </c>
      <c r="B31" s="7"/>
      <c r="C31" s="27"/>
      <c r="D31" s="12"/>
      <c r="E31" s="26"/>
    </row>
    <row r="32" spans="1:5" ht="22.5" customHeight="1" x14ac:dyDescent="0.3">
      <c r="A32" s="9" t="s">
        <v>43</v>
      </c>
      <c r="B32" s="7"/>
      <c r="C32" s="27"/>
      <c r="D32" s="12"/>
      <c r="E32" s="26"/>
    </row>
    <row r="33" spans="1:5" ht="22.5" customHeight="1" x14ac:dyDescent="0.2">
      <c r="A33" s="13" t="s">
        <v>44</v>
      </c>
      <c r="B33" s="11" t="s">
        <v>45</v>
      </c>
      <c r="C33" s="26">
        <v>50000</v>
      </c>
      <c r="D33" s="12">
        <f>ROUNDUP(D2*C2*3/24,0)</f>
        <v>2</v>
      </c>
      <c r="E33" s="26">
        <f t="shared" si="1"/>
        <v>100000</v>
      </c>
    </row>
    <row r="34" spans="1:5" ht="22.5" customHeight="1" x14ac:dyDescent="0.2">
      <c r="A34" s="13" t="s">
        <v>46</v>
      </c>
      <c r="B34" s="11" t="s">
        <v>47</v>
      </c>
      <c r="C34" s="26">
        <v>100000</v>
      </c>
      <c r="D34" s="12">
        <v>1</v>
      </c>
      <c r="E34" s="26">
        <f t="shared" si="1"/>
        <v>100000</v>
      </c>
    </row>
    <row r="35" spans="1:5" ht="22.5" customHeight="1" x14ac:dyDescent="0.2">
      <c r="A35" s="13" t="s">
        <v>48</v>
      </c>
      <c r="B35" s="11" t="s">
        <v>20</v>
      </c>
      <c r="C35" s="26">
        <v>60000</v>
      </c>
      <c r="D35" s="12">
        <f>D2</f>
        <v>4</v>
      </c>
      <c r="E35" s="26">
        <f t="shared" si="1"/>
        <v>240000</v>
      </c>
    </row>
    <row r="36" spans="1:5" s="1" customFormat="1" ht="30" customHeight="1" x14ac:dyDescent="0.2">
      <c r="A36" s="17" t="s">
        <v>49</v>
      </c>
      <c r="B36" s="16"/>
      <c r="C36" s="5"/>
      <c r="D36" s="12"/>
      <c r="E36" s="29">
        <f>SUM(E7:E35)</f>
        <v>9525000</v>
      </c>
    </row>
    <row r="37" spans="1:5" ht="36" customHeight="1" x14ac:dyDescent="0.2">
      <c r="A37" s="17" t="s">
        <v>50</v>
      </c>
      <c r="B37" s="8"/>
      <c r="C37" s="8"/>
      <c r="D37" s="8"/>
      <c r="E37" s="29">
        <f>E36/D2</f>
        <v>2381250</v>
      </c>
    </row>
  </sheetData>
  <pageMargins left="0.25" right="0.25" top="0.75" bottom="0.75" header="0.3" footer="0.3"/>
  <pageSetup paperSize="10000" scale="57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AD8CD-AB2B-954A-94ED-F7ECB51B4B74}">
  <sheetPr>
    <pageSetUpPr fitToPage="1"/>
  </sheetPr>
  <dimension ref="A1:N41"/>
  <sheetViews>
    <sheetView topLeftCell="A10" zoomScale="70" zoomScaleNormal="70" workbookViewId="0">
      <selection sqref="A1:E41"/>
    </sheetView>
  </sheetViews>
  <sheetFormatPr defaultColWidth="9" defaultRowHeight="12.75" x14ac:dyDescent="0.2"/>
  <cols>
    <col min="1" max="1" width="93.83203125" customWidth="1"/>
    <col min="2" max="2" width="20.6640625" customWidth="1"/>
    <col min="3" max="3" width="29.1640625" customWidth="1"/>
    <col min="4" max="4" width="21.6640625" customWidth="1"/>
    <col min="5" max="5" width="25.33203125" customWidth="1"/>
    <col min="8" max="8" width="7" bestFit="1" customWidth="1"/>
    <col min="9" max="10" width="20.83203125" bestFit="1" customWidth="1"/>
    <col min="11" max="11" width="18.6640625" bestFit="1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14" ht="25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60</v>
      </c>
    </row>
    <row r="2" spans="1:14" ht="27.75" customHeight="1" x14ac:dyDescent="0.2">
      <c r="A2" s="3" t="s">
        <v>59</v>
      </c>
      <c r="B2" s="3">
        <v>29</v>
      </c>
      <c r="C2" s="3">
        <v>3</v>
      </c>
      <c r="D2" s="30">
        <v>5</v>
      </c>
      <c r="E2" s="52">
        <v>3050000</v>
      </c>
    </row>
    <row r="3" spans="1:14" ht="27.75" customHeight="1" x14ac:dyDescent="0.2">
      <c r="A3" s="4"/>
      <c r="B3" s="4"/>
      <c r="C3" s="4"/>
    </row>
    <row r="4" spans="1:14" ht="35.25" customHeight="1" x14ac:dyDescent="0.2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</row>
    <row r="5" spans="1:14" ht="22.5" customHeight="1" x14ac:dyDescent="0.3">
      <c r="A5" s="6" t="s">
        <v>9</v>
      </c>
      <c r="B5" s="7"/>
      <c r="C5" s="7"/>
      <c r="D5" s="8"/>
      <c r="E5" s="8"/>
    </row>
    <row r="6" spans="1:14" ht="22.5" customHeight="1" x14ac:dyDescent="0.3">
      <c r="A6" s="9" t="s">
        <v>10</v>
      </c>
      <c r="B6" s="7"/>
      <c r="C6" s="7"/>
      <c r="D6" s="8"/>
      <c r="E6" s="8"/>
    </row>
    <row r="7" spans="1:14" ht="22.5" customHeight="1" x14ac:dyDescent="0.2">
      <c r="A7" s="10" t="s">
        <v>12</v>
      </c>
      <c r="B7" s="11" t="s">
        <v>11</v>
      </c>
      <c r="C7" s="26">
        <v>337500</v>
      </c>
      <c r="D7" s="12">
        <v>1</v>
      </c>
      <c r="E7" s="26">
        <f>C7*D7</f>
        <v>337500</v>
      </c>
    </row>
    <row r="8" spans="1:14" ht="22.5" customHeight="1" x14ac:dyDescent="0.25">
      <c r="A8" s="10" t="s">
        <v>13</v>
      </c>
      <c r="B8" s="11" t="s">
        <v>11</v>
      </c>
      <c r="C8" s="26">
        <v>562500</v>
      </c>
      <c r="D8" s="12">
        <v>1</v>
      </c>
      <c r="E8" s="26">
        <f t="shared" ref="E8:E25" si="0">C8*D8</f>
        <v>562500</v>
      </c>
      <c r="H8" s="19"/>
      <c r="I8" s="20"/>
      <c r="J8" s="20"/>
      <c r="K8" s="21"/>
      <c r="L8" s="21"/>
      <c r="M8" s="21"/>
      <c r="N8" s="21"/>
    </row>
    <row r="9" spans="1:14" ht="22.5" customHeight="1" x14ac:dyDescent="0.3">
      <c r="A9" s="9" t="s">
        <v>14</v>
      </c>
      <c r="B9" s="7"/>
      <c r="C9" s="27"/>
      <c r="D9" s="12"/>
      <c r="E9" s="26"/>
    </row>
    <row r="10" spans="1:14" ht="22.5" customHeight="1" x14ac:dyDescent="0.2">
      <c r="A10" s="10" t="s">
        <v>15</v>
      </c>
      <c r="B10" s="11" t="s">
        <v>11</v>
      </c>
      <c r="C10" s="26">
        <v>750000</v>
      </c>
      <c r="D10" s="12">
        <v>1</v>
      </c>
      <c r="E10" s="26">
        <f t="shared" si="0"/>
        <v>750000</v>
      </c>
    </row>
    <row r="11" spans="1:14" ht="22.5" customHeight="1" x14ac:dyDescent="0.2">
      <c r="A11" s="10" t="s">
        <v>16</v>
      </c>
      <c r="B11" s="11" t="s">
        <v>11</v>
      </c>
      <c r="C11" s="26">
        <v>950000</v>
      </c>
      <c r="D11" s="12">
        <v>1</v>
      </c>
      <c r="E11" s="26">
        <f t="shared" si="0"/>
        <v>950000</v>
      </c>
    </row>
    <row r="12" spans="1:14" ht="22.5" customHeight="1" x14ac:dyDescent="0.3">
      <c r="A12" s="6" t="s">
        <v>17</v>
      </c>
      <c r="B12" s="7"/>
      <c r="C12" s="27"/>
      <c r="D12" s="12"/>
      <c r="E12" s="26">
        <f t="shared" si="0"/>
        <v>0</v>
      </c>
    </row>
    <row r="13" spans="1:14" ht="22.5" customHeight="1" x14ac:dyDescent="0.3">
      <c r="A13" s="9" t="s">
        <v>18</v>
      </c>
      <c r="B13" s="7"/>
      <c r="C13" s="27"/>
      <c r="D13" s="12"/>
      <c r="E13" s="26">
        <f t="shared" si="0"/>
        <v>0</v>
      </c>
    </row>
    <row r="14" spans="1:14" ht="22.5" customHeight="1" x14ac:dyDescent="0.2">
      <c r="A14" s="10" t="s">
        <v>19</v>
      </c>
      <c r="B14" s="11" t="s">
        <v>20</v>
      </c>
      <c r="C14" s="26">
        <v>75000</v>
      </c>
      <c r="D14" s="12">
        <f>D2</f>
        <v>5</v>
      </c>
      <c r="E14" s="26">
        <f t="shared" si="0"/>
        <v>375000</v>
      </c>
    </row>
    <row r="15" spans="1:14" ht="22.5" customHeight="1" x14ac:dyDescent="0.2">
      <c r="A15" s="13" t="s">
        <v>58</v>
      </c>
      <c r="B15" s="11" t="s">
        <v>20</v>
      </c>
      <c r="C15" s="26">
        <v>35000</v>
      </c>
      <c r="D15" s="12">
        <f>D2</f>
        <v>5</v>
      </c>
      <c r="E15" s="26">
        <f t="shared" si="0"/>
        <v>175000</v>
      </c>
    </row>
    <row r="16" spans="1:14" ht="22.5" customHeight="1" x14ac:dyDescent="0.2">
      <c r="A16" s="10" t="s">
        <v>21</v>
      </c>
      <c r="B16" s="11" t="s">
        <v>20</v>
      </c>
      <c r="C16" s="26">
        <v>25000</v>
      </c>
      <c r="D16" s="12">
        <f>D2</f>
        <v>5</v>
      </c>
      <c r="E16" s="26">
        <f t="shared" si="0"/>
        <v>125000</v>
      </c>
    </row>
    <row r="17" spans="1:5" ht="22.5" customHeight="1" x14ac:dyDescent="0.2">
      <c r="A17" s="10" t="s">
        <v>22</v>
      </c>
      <c r="B17" s="11" t="s">
        <v>11</v>
      </c>
      <c r="C17" s="26">
        <v>250000</v>
      </c>
      <c r="D17" s="12">
        <f>IF($D$2=4,0,1)</f>
        <v>1</v>
      </c>
      <c r="E17" s="26">
        <f t="shared" si="0"/>
        <v>250000</v>
      </c>
    </row>
    <row r="18" spans="1:5" ht="22.5" customHeight="1" x14ac:dyDescent="0.2">
      <c r="A18" s="13" t="s">
        <v>56</v>
      </c>
      <c r="B18" s="11" t="s">
        <v>20</v>
      </c>
      <c r="C18" s="26">
        <v>65000</v>
      </c>
      <c r="D18" s="12">
        <f>D2</f>
        <v>5</v>
      </c>
      <c r="E18" s="26">
        <f t="shared" si="0"/>
        <v>325000</v>
      </c>
    </row>
    <row r="19" spans="1:5" ht="22.5" customHeight="1" x14ac:dyDescent="0.2">
      <c r="A19" s="13" t="s">
        <v>57</v>
      </c>
      <c r="B19" s="11" t="s">
        <v>20</v>
      </c>
      <c r="C19" s="26">
        <v>65000</v>
      </c>
      <c r="D19" s="12">
        <f>D2</f>
        <v>5</v>
      </c>
      <c r="E19" s="26">
        <f t="shared" si="0"/>
        <v>325000</v>
      </c>
    </row>
    <row r="20" spans="1:5" ht="22.5" customHeight="1" x14ac:dyDescent="0.3">
      <c r="A20" s="9" t="s">
        <v>23</v>
      </c>
      <c r="B20" s="7"/>
      <c r="C20" s="28"/>
      <c r="D20" s="12"/>
      <c r="E20" s="26"/>
    </row>
    <row r="21" spans="1:5" ht="22.5" customHeight="1" x14ac:dyDescent="0.2">
      <c r="A21" s="10" t="s">
        <v>24</v>
      </c>
      <c r="B21" s="11" t="s">
        <v>20</v>
      </c>
      <c r="C21" s="26">
        <v>160000</v>
      </c>
      <c r="D21" s="12">
        <f>D2</f>
        <v>5</v>
      </c>
      <c r="E21" s="26">
        <f t="shared" si="0"/>
        <v>800000</v>
      </c>
    </row>
    <row r="22" spans="1:5" ht="22.5" customHeight="1" x14ac:dyDescent="0.2">
      <c r="A22" s="13" t="s">
        <v>25</v>
      </c>
      <c r="B22" s="11" t="s">
        <v>20</v>
      </c>
      <c r="C22" s="26">
        <v>500000</v>
      </c>
      <c r="D22" s="12">
        <f>ROUNDUP(D2/4,0)</f>
        <v>2</v>
      </c>
      <c r="E22" s="26">
        <f t="shared" si="0"/>
        <v>1000000</v>
      </c>
    </row>
    <row r="23" spans="1:5" ht="22.5" customHeight="1" x14ac:dyDescent="0.3">
      <c r="A23" s="14" t="s">
        <v>26</v>
      </c>
      <c r="B23" s="7"/>
      <c r="C23" s="28"/>
      <c r="D23" s="12"/>
      <c r="E23" s="26"/>
    </row>
    <row r="24" spans="1:5" ht="22.5" customHeight="1" x14ac:dyDescent="0.2">
      <c r="A24" s="13" t="s">
        <v>27</v>
      </c>
      <c r="B24" s="11" t="s">
        <v>20</v>
      </c>
      <c r="C24" s="26">
        <v>90000</v>
      </c>
      <c r="D24" s="12">
        <f>D2</f>
        <v>5</v>
      </c>
      <c r="E24" s="26">
        <f t="shared" si="0"/>
        <v>450000</v>
      </c>
    </row>
    <row r="25" spans="1:5" ht="22.5" customHeight="1" x14ac:dyDescent="0.2">
      <c r="A25" s="10" t="s">
        <v>28</v>
      </c>
      <c r="B25" s="11" t="s">
        <v>11</v>
      </c>
      <c r="C25" s="26">
        <v>100000</v>
      </c>
      <c r="D25" s="12">
        <v>1</v>
      </c>
      <c r="E25" s="26">
        <f t="shared" si="0"/>
        <v>100000</v>
      </c>
    </row>
    <row r="26" spans="1:5" ht="22.5" customHeight="1" x14ac:dyDescent="0.3">
      <c r="A26" s="15" t="s">
        <v>29</v>
      </c>
      <c r="B26" s="7"/>
      <c r="C26" s="27"/>
      <c r="D26" s="12"/>
      <c r="E26" s="26"/>
    </row>
    <row r="27" spans="1:5" ht="22.5" customHeight="1" x14ac:dyDescent="0.3">
      <c r="A27" s="9" t="s">
        <v>30</v>
      </c>
      <c r="B27" s="7"/>
      <c r="C27" s="27"/>
      <c r="D27" s="12"/>
      <c r="E27" s="26"/>
    </row>
    <row r="28" spans="1:5" ht="22.5" customHeight="1" x14ac:dyDescent="0.2">
      <c r="A28" s="10" t="s">
        <v>33</v>
      </c>
      <c r="B28" s="11" t="s">
        <v>32</v>
      </c>
      <c r="C28" s="26">
        <v>1100000</v>
      </c>
      <c r="D28" s="12">
        <f>IF((($D$2&gt;=4)*($D$2&lt;=11))=1,$C$2,0)</f>
        <v>3</v>
      </c>
      <c r="E28" s="26">
        <f t="shared" ref="E28:E39" si="1">C28*D28</f>
        <v>3300000</v>
      </c>
    </row>
    <row r="29" spans="1:5" ht="22.5" customHeight="1" x14ac:dyDescent="0.3">
      <c r="A29" s="9" t="s">
        <v>35</v>
      </c>
      <c r="B29" s="7"/>
      <c r="C29" s="27"/>
      <c r="D29" s="12"/>
      <c r="E29" s="26"/>
    </row>
    <row r="30" spans="1:5" ht="22.5" customHeight="1" x14ac:dyDescent="0.2">
      <c r="A30" s="13" t="s">
        <v>36</v>
      </c>
      <c r="B30" s="11" t="s">
        <v>11</v>
      </c>
      <c r="C30" s="26">
        <v>200000</v>
      </c>
      <c r="D30" s="12">
        <f>IF((($D$2&gt;=10)*($D$2&lt;=11))=1,2,1)</f>
        <v>1</v>
      </c>
      <c r="E30" s="26">
        <f t="shared" si="1"/>
        <v>200000</v>
      </c>
    </row>
    <row r="31" spans="1:5" ht="22.5" customHeight="1" x14ac:dyDescent="0.2">
      <c r="A31" s="10" t="s">
        <v>37</v>
      </c>
      <c r="B31" s="11" t="s">
        <v>11</v>
      </c>
      <c r="C31" s="26">
        <v>300000</v>
      </c>
      <c r="D31" s="12"/>
      <c r="E31" s="26"/>
    </row>
    <row r="32" spans="1:5" ht="22.5" customHeight="1" x14ac:dyDescent="0.3">
      <c r="A32" s="15" t="s">
        <v>38</v>
      </c>
      <c r="B32" s="7"/>
      <c r="C32" s="27"/>
      <c r="D32" s="12"/>
      <c r="E32" s="26"/>
    </row>
    <row r="33" spans="1:5" ht="22.5" customHeight="1" x14ac:dyDescent="0.3">
      <c r="A33" s="9" t="s">
        <v>39</v>
      </c>
      <c r="B33" s="7"/>
      <c r="C33" s="27"/>
      <c r="D33" s="12"/>
      <c r="E33" s="26"/>
    </row>
    <row r="34" spans="1:5" ht="22.5" customHeight="1" x14ac:dyDescent="0.2">
      <c r="A34" s="10" t="s">
        <v>41</v>
      </c>
      <c r="B34" s="11" t="s">
        <v>32</v>
      </c>
      <c r="C34" s="26">
        <v>250000</v>
      </c>
      <c r="D34" s="12">
        <f>IF((($D$2&gt;=4)*($D$2&lt;=11))=1,$C$2,0)</f>
        <v>3</v>
      </c>
      <c r="E34" s="26">
        <f t="shared" si="1"/>
        <v>750000</v>
      </c>
    </row>
    <row r="35" spans="1:5" ht="22.5" customHeight="1" x14ac:dyDescent="0.3">
      <c r="A35" s="15" t="s">
        <v>42</v>
      </c>
      <c r="B35" s="7"/>
      <c r="C35" s="27"/>
      <c r="D35" s="12"/>
      <c r="E35" s="26"/>
    </row>
    <row r="36" spans="1:5" ht="22.5" customHeight="1" x14ac:dyDescent="0.3">
      <c r="A36" s="9" t="s">
        <v>43</v>
      </c>
      <c r="B36" s="7"/>
      <c r="C36" s="27"/>
      <c r="D36" s="12"/>
      <c r="E36" s="26"/>
    </row>
    <row r="37" spans="1:5" ht="22.5" customHeight="1" x14ac:dyDescent="0.2">
      <c r="A37" s="13" t="s">
        <v>44</v>
      </c>
      <c r="B37" s="11" t="s">
        <v>45</v>
      </c>
      <c r="C37" s="26">
        <v>50000</v>
      </c>
      <c r="D37" s="12">
        <f>ROUNDUP(D2*C2*3/24,0)</f>
        <v>2</v>
      </c>
      <c r="E37" s="26">
        <f t="shared" si="1"/>
        <v>100000</v>
      </c>
    </row>
    <row r="38" spans="1:5" ht="22.5" customHeight="1" x14ac:dyDescent="0.2">
      <c r="A38" s="13" t="s">
        <v>46</v>
      </c>
      <c r="B38" s="11" t="s">
        <v>47</v>
      </c>
      <c r="C38" s="26">
        <v>100000</v>
      </c>
      <c r="D38" s="12">
        <v>1</v>
      </c>
      <c r="E38" s="26">
        <f t="shared" si="1"/>
        <v>100000</v>
      </c>
    </row>
    <row r="39" spans="1:5" ht="22.5" customHeight="1" x14ac:dyDescent="0.2">
      <c r="A39" s="13" t="s">
        <v>48</v>
      </c>
      <c r="B39" s="11" t="s">
        <v>20</v>
      </c>
      <c r="C39" s="26">
        <v>60000</v>
      </c>
      <c r="D39" s="12">
        <f>D2</f>
        <v>5</v>
      </c>
      <c r="E39" s="26">
        <f t="shared" si="1"/>
        <v>300000</v>
      </c>
    </row>
    <row r="40" spans="1:5" s="1" customFormat="1" ht="30" customHeight="1" x14ac:dyDescent="0.2">
      <c r="A40" s="17" t="s">
        <v>49</v>
      </c>
      <c r="B40" s="16"/>
      <c r="C40" s="5"/>
      <c r="D40" s="12"/>
      <c r="E40" s="29">
        <f>SUM(E7:E39)</f>
        <v>11275000</v>
      </c>
    </row>
    <row r="41" spans="1:5" ht="36" customHeight="1" x14ac:dyDescent="0.2">
      <c r="A41" s="17" t="s">
        <v>50</v>
      </c>
      <c r="B41" s="8"/>
      <c r="C41" s="8"/>
      <c r="D41" s="8"/>
      <c r="E41" s="29">
        <f>E40/D2</f>
        <v>2255000</v>
      </c>
    </row>
  </sheetData>
  <pageMargins left="0.25" right="0.25" top="0.75" bottom="0.75" header="0.3" footer="0.3"/>
  <pageSetup paperSize="9" scale="58" fitToHeight="0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29DC5-0B4E-0A4F-8362-85976B7BA8DF}">
  <sheetPr>
    <pageSetUpPr fitToPage="1"/>
  </sheetPr>
  <dimension ref="A1:E38"/>
  <sheetViews>
    <sheetView topLeftCell="A7" zoomScale="70" zoomScaleNormal="70" workbookViewId="0">
      <selection sqref="A1:E38"/>
    </sheetView>
  </sheetViews>
  <sheetFormatPr defaultColWidth="9" defaultRowHeight="12.75" x14ac:dyDescent="0.2"/>
  <cols>
    <col min="1" max="1" width="99" bestFit="1" customWidth="1"/>
    <col min="2" max="2" width="20.6640625" customWidth="1"/>
    <col min="3" max="3" width="29.1640625" customWidth="1"/>
    <col min="4" max="4" width="21.6640625" customWidth="1"/>
    <col min="5" max="5" width="25.33203125" customWidth="1"/>
    <col min="8" max="8" width="7" bestFit="1" customWidth="1"/>
    <col min="9" max="10" width="20.83203125" bestFit="1" customWidth="1"/>
    <col min="11" max="11" width="18.6640625" bestFit="1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5" ht="25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60</v>
      </c>
    </row>
    <row r="2" spans="1:5" ht="27.75" customHeight="1" x14ac:dyDescent="0.2">
      <c r="A2" s="3" t="s">
        <v>59</v>
      </c>
      <c r="B2" s="3">
        <v>29</v>
      </c>
      <c r="C2" s="3">
        <v>3</v>
      </c>
      <c r="D2" s="30">
        <v>6</v>
      </c>
      <c r="E2" s="52">
        <v>2850000</v>
      </c>
    </row>
    <row r="3" spans="1:5" ht="27.75" customHeight="1" x14ac:dyDescent="0.2">
      <c r="A3" s="4"/>
      <c r="B3" s="4"/>
      <c r="C3" s="4"/>
    </row>
    <row r="4" spans="1:5" ht="35.25" customHeight="1" x14ac:dyDescent="0.2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</row>
    <row r="5" spans="1:5" ht="22.5" customHeight="1" x14ac:dyDescent="0.3">
      <c r="A5" s="6" t="s">
        <v>9</v>
      </c>
      <c r="B5" s="7"/>
      <c r="C5" s="7"/>
      <c r="D5" s="8"/>
      <c r="E5" s="8"/>
    </row>
    <row r="6" spans="1:5" ht="22.5" customHeight="1" x14ac:dyDescent="0.3">
      <c r="A6" s="9" t="s">
        <v>10</v>
      </c>
      <c r="B6" s="7"/>
      <c r="C6" s="7"/>
      <c r="D6" s="8"/>
      <c r="E6" s="8"/>
    </row>
    <row r="7" spans="1:5" ht="22.5" customHeight="1" x14ac:dyDescent="0.2">
      <c r="A7" s="10" t="s">
        <v>12</v>
      </c>
      <c r="B7" s="11" t="s">
        <v>11</v>
      </c>
      <c r="C7" s="26">
        <v>337500</v>
      </c>
      <c r="D7" s="12">
        <f>ROUNDUP(D2/2,0)</f>
        <v>3</v>
      </c>
      <c r="E7" s="26">
        <f>C7*D7</f>
        <v>1012500</v>
      </c>
    </row>
    <row r="8" spans="1:5" ht="22.5" customHeight="1" x14ac:dyDescent="0.3">
      <c r="A8" s="9" t="s">
        <v>14</v>
      </c>
      <c r="B8" s="7"/>
      <c r="C8" s="27"/>
      <c r="D8" s="12"/>
      <c r="E8" s="26"/>
    </row>
    <row r="9" spans="1:5" ht="22.5" customHeight="1" x14ac:dyDescent="0.2">
      <c r="A9" s="10" t="s">
        <v>15</v>
      </c>
      <c r="B9" s="11" t="s">
        <v>11</v>
      </c>
      <c r="C9" s="26">
        <v>750000</v>
      </c>
      <c r="D9" s="12">
        <f>ROUNDUP(D2/2,0)</f>
        <v>3</v>
      </c>
      <c r="E9" s="26">
        <f t="shared" ref="E9:E23" si="0">C9*D9</f>
        <v>2250000</v>
      </c>
    </row>
    <row r="10" spans="1:5" ht="22.5" customHeight="1" x14ac:dyDescent="0.3">
      <c r="A10" s="6" t="s">
        <v>17</v>
      </c>
      <c r="B10" s="7"/>
      <c r="C10" s="27"/>
      <c r="D10" s="12"/>
      <c r="E10" s="26">
        <f t="shared" si="0"/>
        <v>0</v>
      </c>
    </row>
    <row r="11" spans="1:5" ht="22.5" customHeight="1" x14ac:dyDescent="0.3">
      <c r="A11" s="9" t="s">
        <v>18</v>
      </c>
      <c r="B11" s="7"/>
      <c r="C11" s="27"/>
      <c r="D11" s="12"/>
      <c r="E11" s="26">
        <f t="shared" si="0"/>
        <v>0</v>
      </c>
    </row>
    <row r="12" spans="1:5" ht="22.5" customHeight="1" x14ac:dyDescent="0.2">
      <c r="A12" s="10" t="s">
        <v>19</v>
      </c>
      <c r="B12" s="11" t="s">
        <v>20</v>
      </c>
      <c r="C12" s="26">
        <v>75000</v>
      </c>
      <c r="D12" s="12">
        <f>D2</f>
        <v>6</v>
      </c>
      <c r="E12" s="26">
        <f t="shared" si="0"/>
        <v>450000</v>
      </c>
    </row>
    <row r="13" spans="1:5" ht="22.5" customHeight="1" x14ac:dyDescent="0.2">
      <c r="A13" s="13" t="s">
        <v>58</v>
      </c>
      <c r="B13" s="11" t="s">
        <v>20</v>
      </c>
      <c r="C13" s="26">
        <v>35000</v>
      </c>
      <c r="D13" s="12">
        <f>D2</f>
        <v>6</v>
      </c>
      <c r="E13" s="26">
        <f t="shared" si="0"/>
        <v>210000</v>
      </c>
    </row>
    <row r="14" spans="1:5" ht="22.5" customHeight="1" x14ac:dyDescent="0.2">
      <c r="A14" s="10" t="s">
        <v>21</v>
      </c>
      <c r="B14" s="11" t="s">
        <v>20</v>
      </c>
      <c r="C14" s="26">
        <v>25000</v>
      </c>
      <c r="D14" s="12">
        <f>D2</f>
        <v>6</v>
      </c>
      <c r="E14" s="26">
        <f t="shared" si="0"/>
        <v>150000</v>
      </c>
    </row>
    <row r="15" spans="1:5" ht="22.5" customHeight="1" x14ac:dyDescent="0.2">
      <c r="A15" s="10" t="s">
        <v>22</v>
      </c>
      <c r="B15" s="11" t="s">
        <v>11</v>
      </c>
      <c r="C15" s="26">
        <v>250000</v>
      </c>
      <c r="D15" s="12">
        <f>IF($D$2=4,0,1)</f>
        <v>1</v>
      </c>
      <c r="E15" s="26">
        <f t="shared" si="0"/>
        <v>250000</v>
      </c>
    </row>
    <row r="16" spans="1:5" ht="22.5" customHeight="1" x14ac:dyDescent="0.2">
      <c r="A16" s="13" t="s">
        <v>56</v>
      </c>
      <c r="B16" s="11" t="s">
        <v>20</v>
      </c>
      <c r="C16" s="26">
        <v>65000</v>
      </c>
      <c r="D16" s="12">
        <f>D2</f>
        <v>6</v>
      </c>
      <c r="E16" s="26">
        <f t="shared" si="0"/>
        <v>390000</v>
      </c>
    </row>
    <row r="17" spans="1:5" ht="22.5" customHeight="1" x14ac:dyDescent="0.2">
      <c r="A17" s="13" t="s">
        <v>57</v>
      </c>
      <c r="B17" s="11" t="s">
        <v>20</v>
      </c>
      <c r="C17" s="26">
        <v>65000</v>
      </c>
      <c r="D17" s="12">
        <f>D2</f>
        <v>6</v>
      </c>
      <c r="E17" s="26">
        <f t="shared" si="0"/>
        <v>390000</v>
      </c>
    </row>
    <row r="18" spans="1:5" ht="22.5" customHeight="1" x14ac:dyDescent="0.3">
      <c r="A18" s="9" t="s">
        <v>23</v>
      </c>
      <c r="B18" s="7"/>
      <c r="C18" s="28"/>
      <c r="D18" s="12"/>
      <c r="E18" s="26"/>
    </row>
    <row r="19" spans="1:5" ht="22.5" customHeight="1" x14ac:dyDescent="0.2">
      <c r="A19" s="10" t="s">
        <v>24</v>
      </c>
      <c r="B19" s="11" t="s">
        <v>20</v>
      </c>
      <c r="C19" s="26">
        <v>160000</v>
      </c>
      <c r="D19" s="12">
        <f>D2</f>
        <v>6</v>
      </c>
      <c r="E19" s="26">
        <f t="shared" si="0"/>
        <v>960000</v>
      </c>
    </row>
    <row r="20" spans="1:5" ht="22.5" customHeight="1" x14ac:dyDescent="0.2">
      <c r="A20" s="13" t="s">
        <v>25</v>
      </c>
      <c r="B20" s="11" t="s">
        <v>20</v>
      </c>
      <c r="C20" s="26">
        <v>500000</v>
      </c>
      <c r="D20" s="12">
        <f>ROUNDUP(D2/4,0)</f>
        <v>2</v>
      </c>
      <c r="E20" s="26">
        <f t="shared" si="0"/>
        <v>1000000</v>
      </c>
    </row>
    <row r="21" spans="1:5" ht="22.5" customHeight="1" x14ac:dyDescent="0.3">
      <c r="A21" s="14" t="s">
        <v>26</v>
      </c>
      <c r="B21" s="7"/>
      <c r="C21" s="28"/>
      <c r="D21" s="12"/>
      <c r="E21" s="26"/>
    </row>
    <row r="22" spans="1:5" ht="22.5" customHeight="1" x14ac:dyDescent="0.2">
      <c r="A22" s="13" t="s">
        <v>27</v>
      </c>
      <c r="B22" s="11" t="s">
        <v>20</v>
      </c>
      <c r="C22" s="26">
        <v>90000</v>
      </c>
      <c r="D22" s="12">
        <f>D2</f>
        <v>6</v>
      </c>
      <c r="E22" s="26">
        <f t="shared" si="0"/>
        <v>540000</v>
      </c>
    </row>
    <row r="23" spans="1:5" ht="22.5" customHeight="1" x14ac:dyDescent="0.2">
      <c r="A23" s="10" t="s">
        <v>28</v>
      </c>
      <c r="B23" s="11" t="s">
        <v>11</v>
      </c>
      <c r="C23" s="26">
        <v>100000</v>
      </c>
      <c r="D23" s="12">
        <v>1</v>
      </c>
      <c r="E23" s="26">
        <f t="shared" si="0"/>
        <v>100000</v>
      </c>
    </row>
    <row r="24" spans="1:5" ht="22.5" customHeight="1" x14ac:dyDescent="0.3">
      <c r="A24" s="15" t="s">
        <v>29</v>
      </c>
      <c r="B24" s="7"/>
      <c r="C24" s="27"/>
      <c r="D24" s="12"/>
      <c r="E24" s="26"/>
    </row>
    <row r="25" spans="1:5" ht="22.5" customHeight="1" x14ac:dyDescent="0.3">
      <c r="A25" s="9" t="s">
        <v>30</v>
      </c>
      <c r="B25" s="7"/>
      <c r="C25" s="27"/>
      <c r="D25" s="12"/>
      <c r="E25" s="26"/>
    </row>
    <row r="26" spans="1:5" ht="22.5" customHeight="1" x14ac:dyDescent="0.2">
      <c r="A26" s="10" t="s">
        <v>33</v>
      </c>
      <c r="B26" s="11" t="s">
        <v>32</v>
      </c>
      <c r="C26" s="26">
        <v>1100000</v>
      </c>
      <c r="D26" s="12">
        <f>IF((($D$2&gt;=4)*($D$2&lt;=11))=1,$C$2,0)</f>
        <v>3</v>
      </c>
      <c r="E26" s="26">
        <f t="shared" ref="E26:E36" si="1">C26*D26</f>
        <v>3300000</v>
      </c>
    </row>
    <row r="27" spans="1:5" ht="22.5" customHeight="1" x14ac:dyDescent="0.3">
      <c r="A27" s="9" t="s">
        <v>35</v>
      </c>
      <c r="B27" s="7"/>
      <c r="C27" s="27"/>
      <c r="D27" s="12"/>
      <c r="E27" s="26"/>
    </row>
    <row r="28" spans="1:5" ht="22.5" customHeight="1" x14ac:dyDescent="0.2">
      <c r="A28" s="13" t="s">
        <v>36</v>
      </c>
      <c r="B28" s="11" t="s">
        <v>11</v>
      </c>
      <c r="C28" s="26">
        <v>200000</v>
      </c>
      <c r="D28" s="12">
        <f>IF((($D$2&gt;=10)*($D$2&lt;=11))=1,2,1)</f>
        <v>1</v>
      </c>
      <c r="E28" s="26">
        <f t="shared" si="1"/>
        <v>200000</v>
      </c>
    </row>
    <row r="29" spans="1:5" ht="22.5" customHeight="1" x14ac:dyDescent="0.3">
      <c r="A29" s="15" t="s">
        <v>38</v>
      </c>
      <c r="B29" s="7"/>
      <c r="C29" s="27"/>
      <c r="D29" s="12"/>
      <c r="E29" s="26">
        <f t="shared" si="1"/>
        <v>0</v>
      </c>
    </row>
    <row r="30" spans="1:5" ht="22.5" customHeight="1" x14ac:dyDescent="0.3">
      <c r="A30" s="9" t="s">
        <v>39</v>
      </c>
      <c r="B30" s="7"/>
      <c r="C30" s="27"/>
      <c r="D30" s="12"/>
      <c r="E30" s="26">
        <f t="shared" si="1"/>
        <v>0</v>
      </c>
    </row>
    <row r="31" spans="1:5" ht="22.5" customHeight="1" x14ac:dyDescent="0.2">
      <c r="A31" s="10" t="s">
        <v>41</v>
      </c>
      <c r="B31" s="11" t="s">
        <v>32</v>
      </c>
      <c r="C31" s="26">
        <v>250000</v>
      </c>
      <c r="D31" s="12">
        <f>IF((($D$2&gt;=4)*($D$2&lt;=11))=1,$C$2,0)</f>
        <v>3</v>
      </c>
      <c r="E31" s="26">
        <f t="shared" si="1"/>
        <v>750000</v>
      </c>
    </row>
    <row r="32" spans="1:5" ht="22.5" customHeight="1" x14ac:dyDescent="0.3">
      <c r="A32" s="15" t="s">
        <v>42</v>
      </c>
      <c r="B32" s="7"/>
      <c r="C32" s="27"/>
      <c r="D32" s="12"/>
      <c r="E32" s="26">
        <f t="shared" si="1"/>
        <v>0</v>
      </c>
    </row>
    <row r="33" spans="1:5" ht="22.5" customHeight="1" x14ac:dyDescent="0.3">
      <c r="A33" s="9" t="s">
        <v>43</v>
      </c>
      <c r="B33" s="7"/>
      <c r="C33" s="27"/>
      <c r="D33" s="12"/>
      <c r="E33" s="26">
        <f t="shared" si="1"/>
        <v>0</v>
      </c>
    </row>
    <row r="34" spans="1:5" ht="22.5" customHeight="1" x14ac:dyDescent="0.2">
      <c r="A34" s="13" t="s">
        <v>44</v>
      </c>
      <c r="B34" s="11" t="s">
        <v>45</v>
      </c>
      <c r="C34" s="26">
        <v>50000</v>
      </c>
      <c r="D34" s="12">
        <f>ROUNDUP(D2*C2*3/24,0)</f>
        <v>3</v>
      </c>
      <c r="E34" s="26">
        <f t="shared" si="1"/>
        <v>150000</v>
      </c>
    </row>
    <row r="35" spans="1:5" ht="22.5" customHeight="1" x14ac:dyDescent="0.2">
      <c r="A35" s="13" t="s">
        <v>46</v>
      </c>
      <c r="B35" s="11" t="s">
        <v>47</v>
      </c>
      <c r="C35" s="26">
        <v>100000</v>
      </c>
      <c r="D35" s="12">
        <v>1</v>
      </c>
      <c r="E35" s="26">
        <f t="shared" si="1"/>
        <v>100000</v>
      </c>
    </row>
    <row r="36" spans="1:5" ht="22.5" customHeight="1" x14ac:dyDescent="0.2">
      <c r="A36" s="13" t="s">
        <v>48</v>
      </c>
      <c r="B36" s="11" t="s">
        <v>20</v>
      </c>
      <c r="C36" s="26">
        <v>60000</v>
      </c>
      <c r="D36" s="12">
        <f>D2</f>
        <v>6</v>
      </c>
      <c r="E36" s="26">
        <f t="shared" si="1"/>
        <v>360000</v>
      </c>
    </row>
    <row r="37" spans="1:5" s="1" customFormat="1" ht="30" customHeight="1" x14ac:dyDescent="0.2">
      <c r="A37" s="17" t="s">
        <v>49</v>
      </c>
      <c r="B37" s="16"/>
      <c r="C37" s="5"/>
      <c r="D37" s="12"/>
      <c r="E37" s="29">
        <f>SUM(E7:E36)</f>
        <v>12562500</v>
      </c>
    </row>
    <row r="38" spans="1:5" ht="36" customHeight="1" x14ac:dyDescent="0.2">
      <c r="A38" s="17" t="s">
        <v>50</v>
      </c>
      <c r="B38" s="8"/>
      <c r="C38" s="8"/>
      <c r="D38" s="8"/>
      <c r="E38" s="29">
        <f>E37/D2</f>
        <v>2093750</v>
      </c>
    </row>
  </sheetData>
  <pageMargins left="0.25" right="0.25" top="0.75" bottom="0.75" header="0.3" footer="0.3"/>
  <pageSetup paperSize="9" scale="57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73DA7-73C2-2642-82C3-729E78CEE358}">
  <sheetPr>
    <pageSetUpPr fitToPage="1"/>
  </sheetPr>
  <dimension ref="A1:N39"/>
  <sheetViews>
    <sheetView topLeftCell="A8" zoomScale="70" zoomScaleNormal="70" workbookViewId="0">
      <selection sqref="A1:E39"/>
    </sheetView>
  </sheetViews>
  <sheetFormatPr defaultColWidth="9" defaultRowHeight="12.75" x14ac:dyDescent="0.2"/>
  <cols>
    <col min="1" max="1" width="99" bestFit="1" customWidth="1"/>
    <col min="2" max="2" width="20.6640625" customWidth="1"/>
    <col min="3" max="3" width="29.1640625" customWidth="1"/>
    <col min="4" max="4" width="21.6640625" customWidth="1"/>
    <col min="5" max="5" width="25.33203125" customWidth="1"/>
    <col min="8" max="8" width="7" bestFit="1" customWidth="1"/>
    <col min="9" max="10" width="20.83203125" bestFit="1" customWidth="1"/>
    <col min="11" max="11" width="18.6640625" bestFit="1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14" ht="25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60</v>
      </c>
    </row>
    <row r="2" spans="1:14" ht="27.75" customHeight="1" x14ac:dyDescent="0.2">
      <c r="A2" s="3" t="s">
        <v>59</v>
      </c>
      <c r="B2" s="3">
        <v>29</v>
      </c>
      <c r="C2" s="3">
        <v>3</v>
      </c>
      <c r="D2" s="30">
        <v>7</v>
      </c>
      <c r="E2" s="52">
        <v>2850000</v>
      </c>
    </row>
    <row r="3" spans="1:14" ht="27.75" customHeight="1" x14ac:dyDescent="0.2">
      <c r="A3" s="4"/>
      <c r="B3" s="4"/>
      <c r="C3" s="4"/>
    </row>
    <row r="4" spans="1:14" ht="35.25" customHeight="1" x14ac:dyDescent="0.2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</row>
    <row r="5" spans="1:14" ht="22.5" customHeight="1" x14ac:dyDescent="0.3">
      <c r="A5" s="6" t="s">
        <v>9</v>
      </c>
      <c r="B5" s="7"/>
      <c r="C5" s="7"/>
      <c r="D5" s="8"/>
      <c r="E5" s="8"/>
    </row>
    <row r="6" spans="1:14" ht="22.5" customHeight="1" x14ac:dyDescent="0.3">
      <c r="A6" s="9" t="s">
        <v>10</v>
      </c>
      <c r="B6" s="7"/>
      <c r="C6" s="7"/>
      <c r="D6" s="8"/>
      <c r="E6" s="8"/>
    </row>
    <row r="7" spans="1:14" ht="22.5" customHeight="1" x14ac:dyDescent="0.2">
      <c r="A7" s="10" t="s">
        <v>12</v>
      </c>
      <c r="B7" s="11" t="s">
        <v>11</v>
      </c>
      <c r="C7" s="26">
        <v>337500</v>
      </c>
      <c r="D7" s="12">
        <v>2</v>
      </c>
      <c r="E7" s="26">
        <f>C7*D7</f>
        <v>675000</v>
      </c>
    </row>
    <row r="8" spans="1:14" ht="22.5" customHeight="1" x14ac:dyDescent="0.25">
      <c r="A8" s="10" t="s">
        <v>13</v>
      </c>
      <c r="B8" s="11" t="s">
        <v>11</v>
      </c>
      <c r="C8" s="26">
        <v>562500</v>
      </c>
      <c r="D8" s="12">
        <v>1</v>
      </c>
      <c r="E8" s="26">
        <f t="shared" ref="E8:E25" si="0">C8*D8</f>
        <v>562500</v>
      </c>
      <c r="H8" s="19"/>
      <c r="I8" s="20"/>
      <c r="J8" s="20"/>
      <c r="K8" s="21"/>
      <c r="L8" s="21"/>
      <c r="M8" s="21"/>
      <c r="N8" s="21"/>
    </row>
    <row r="9" spans="1:14" ht="22.5" customHeight="1" x14ac:dyDescent="0.3">
      <c r="A9" s="9" t="s">
        <v>14</v>
      </c>
      <c r="B9" s="7"/>
      <c r="C9" s="27"/>
      <c r="D9" s="12"/>
      <c r="E9" s="26"/>
    </row>
    <row r="10" spans="1:14" ht="22.5" customHeight="1" x14ac:dyDescent="0.2">
      <c r="A10" s="10" t="s">
        <v>15</v>
      </c>
      <c r="B10" s="11" t="s">
        <v>11</v>
      </c>
      <c r="C10" s="26">
        <v>750000</v>
      </c>
      <c r="D10" s="12">
        <v>2</v>
      </c>
      <c r="E10" s="26">
        <f t="shared" si="0"/>
        <v>1500000</v>
      </c>
    </row>
    <row r="11" spans="1:14" ht="22.5" customHeight="1" x14ac:dyDescent="0.2">
      <c r="A11" s="10" t="s">
        <v>16</v>
      </c>
      <c r="B11" s="11" t="s">
        <v>11</v>
      </c>
      <c r="C11" s="26">
        <v>950000</v>
      </c>
      <c r="D11" s="12">
        <v>1</v>
      </c>
      <c r="E11" s="26">
        <f t="shared" si="0"/>
        <v>950000</v>
      </c>
    </row>
    <row r="12" spans="1:14" ht="22.5" customHeight="1" x14ac:dyDescent="0.3">
      <c r="A12" s="6" t="s">
        <v>17</v>
      </c>
      <c r="B12" s="7"/>
      <c r="C12" s="27"/>
      <c r="D12" s="12"/>
      <c r="E12" s="26">
        <f t="shared" si="0"/>
        <v>0</v>
      </c>
    </row>
    <row r="13" spans="1:14" ht="22.5" customHeight="1" x14ac:dyDescent="0.3">
      <c r="A13" s="9" t="s">
        <v>18</v>
      </c>
      <c r="B13" s="7"/>
      <c r="C13" s="27"/>
      <c r="D13" s="12"/>
      <c r="E13" s="26">
        <f t="shared" si="0"/>
        <v>0</v>
      </c>
    </row>
    <row r="14" spans="1:14" ht="22.5" customHeight="1" x14ac:dyDescent="0.2">
      <c r="A14" s="10" t="s">
        <v>19</v>
      </c>
      <c r="B14" s="11" t="s">
        <v>20</v>
      </c>
      <c r="C14" s="26">
        <v>75000</v>
      </c>
      <c r="D14" s="12">
        <f>D2</f>
        <v>7</v>
      </c>
      <c r="E14" s="26">
        <f t="shared" si="0"/>
        <v>525000</v>
      </c>
    </row>
    <row r="15" spans="1:14" ht="22.5" customHeight="1" x14ac:dyDescent="0.2">
      <c r="A15" s="13" t="s">
        <v>58</v>
      </c>
      <c r="B15" s="11" t="s">
        <v>20</v>
      </c>
      <c r="C15" s="26">
        <v>35000</v>
      </c>
      <c r="D15" s="12">
        <f>D2</f>
        <v>7</v>
      </c>
      <c r="E15" s="26">
        <f t="shared" si="0"/>
        <v>245000</v>
      </c>
    </row>
    <row r="16" spans="1:14" ht="22.5" customHeight="1" x14ac:dyDescent="0.2">
      <c r="A16" s="10" t="s">
        <v>21</v>
      </c>
      <c r="B16" s="11" t="s">
        <v>20</v>
      </c>
      <c r="C16" s="26">
        <v>25000</v>
      </c>
      <c r="D16" s="12">
        <f>D2</f>
        <v>7</v>
      </c>
      <c r="E16" s="26">
        <f t="shared" si="0"/>
        <v>175000</v>
      </c>
    </row>
    <row r="17" spans="1:5" ht="22.5" customHeight="1" x14ac:dyDescent="0.2">
      <c r="A17" s="10" t="s">
        <v>22</v>
      </c>
      <c r="B17" s="11" t="s">
        <v>11</v>
      </c>
      <c r="C17" s="26">
        <v>250000</v>
      </c>
      <c r="D17" s="12">
        <f>IF($D$2=4,0,1)</f>
        <v>1</v>
      </c>
      <c r="E17" s="26">
        <f t="shared" si="0"/>
        <v>250000</v>
      </c>
    </row>
    <row r="18" spans="1:5" ht="22.5" customHeight="1" x14ac:dyDescent="0.2">
      <c r="A18" s="13" t="s">
        <v>56</v>
      </c>
      <c r="B18" s="11" t="s">
        <v>20</v>
      </c>
      <c r="C18" s="26">
        <v>65000</v>
      </c>
      <c r="D18" s="12">
        <f>D2</f>
        <v>7</v>
      </c>
      <c r="E18" s="26">
        <f t="shared" si="0"/>
        <v>455000</v>
      </c>
    </row>
    <row r="19" spans="1:5" ht="22.5" customHeight="1" x14ac:dyDescent="0.2">
      <c r="A19" s="13" t="s">
        <v>57</v>
      </c>
      <c r="B19" s="11" t="s">
        <v>20</v>
      </c>
      <c r="C19" s="26">
        <v>65000</v>
      </c>
      <c r="D19" s="12">
        <f>D2</f>
        <v>7</v>
      </c>
      <c r="E19" s="26">
        <f t="shared" si="0"/>
        <v>455000</v>
      </c>
    </row>
    <row r="20" spans="1:5" ht="22.5" customHeight="1" x14ac:dyDescent="0.3">
      <c r="A20" s="9" t="s">
        <v>23</v>
      </c>
      <c r="B20" s="7"/>
      <c r="C20" s="28"/>
      <c r="D20" s="12"/>
      <c r="E20" s="26"/>
    </row>
    <row r="21" spans="1:5" ht="22.5" customHeight="1" x14ac:dyDescent="0.2">
      <c r="A21" s="10" t="s">
        <v>24</v>
      </c>
      <c r="B21" s="11" t="s">
        <v>20</v>
      </c>
      <c r="C21" s="26">
        <v>160000</v>
      </c>
      <c r="D21" s="12">
        <f>D2</f>
        <v>7</v>
      </c>
      <c r="E21" s="26">
        <f t="shared" si="0"/>
        <v>1120000</v>
      </c>
    </row>
    <row r="22" spans="1:5" ht="22.5" customHeight="1" x14ac:dyDescent="0.2">
      <c r="A22" s="13" t="s">
        <v>25</v>
      </c>
      <c r="B22" s="11" t="s">
        <v>20</v>
      </c>
      <c r="C22" s="26">
        <v>500000</v>
      </c>
      <c r="D22" s="12">
        <f>ROUNDUP(D2/4,0)</f>
        <v>2</v>
      </c>
      <c r="E22" s="26">
        <f t="shared" si="0"/>
        <v>1000000</v>
      </c>
    </row>
    <row r="23" spans="1:5" ht="22.5" customHeight="1" x14ac:dyDescent="0.3">
      <c r="A23" s="14" t="s">
        <v>26</v>
      </c>
      <c r="B23" s="7"/>
      <c r="C23" s="28"/>
      <c r="D23" s="12"/>
      <c r="E23" s="26"/>
    </row>
    <row r="24" spans="1:5" ht="22.5" customHeight="1" x14ac:dyDescent="0.2">
      <c r="A24" s="13" t="s">
        <v>27</v>
      </c>
      <c r="B24" s="11" t="s">
        <v>20</v>
      </c>
      <c r="C24" s="26">
        <v>90000</v>
      </c>
      <c r="D24" s="12">
        <f>D2</f>
        <v>7</v>
      </c>
      <c r="E24" s="26">
        <f t="shared" si="0"/>
        <v>630000</v>
      </c>
    </row>
    <row r="25" spans="1:5" ht="22.5" customHeight="1" x14ac:dyDescent="0.2">
      <c r="A25" s="10" t="s">
        <v>28</v>
      </c>
      <c r="B25" s="11" t="s">
        <v>11</v>
      </c>
      <c r="C25" s="26">
        <v>100000</v>
      </c>
      <c r="D25" s="12">
        <v>1</v>
      </c>
      <c r="E25" s="26">
        <f t="shared" si="0"/>
        <v>100000</v>
      </c>
    </row>
    <row r="26" spans="1:5" ht="22.5" customHeight="1" x14ac:dyDescent="0.3">
      <c r="A26" s="15" t="s">
        <v>29</v>
      </c>
      <c r="B26" s="7"/>
      <c r="C26" s="27"/>
      <c r="D26" s="12"/>
      <c r="E26" s="26"/>
    </row>
    <row r="27" spans="1:5" ht="22.5" customHeight="1" x14ac:dyDescent="0.3">
      <c r="A27" s="9" t="s">
        <v>30</v>
      </c>
      <c r="B27" s="7"/>
      <c r="C27" s="27"/>
      <c r="D27" s="12"/>
      <c r="E27" s="26"/>
    </row>
    <row r="28" spans="1:5" ht="22.5" customHeight="1" x14ac:dyDescent="0.2">
      <c r="A28" s="10" t="s">
        <v>33</v>
      </c>
      <c r="B28" s="11" t="s">
        <v>32</v>
      </c>
      <c r="C28" s="26">
        <v>1100000</v>
      </c>
      <c r="D28" s="12">
        <f>IF((($D$2&gt;=4)*($D$2&lt;=11))=1,$C$2,0)</f>
        <v>3</v>
      </c>
      <c r="E28" s="26">
        <f t="shared" ref="E28:E37" si="1">C28*D28</f>
        <v>3300000</v>
      </c>
    </row>
    <row r="29" spans="1:5" ht="22.5" customHeight="1" x14ac:dyDescent="0.3">
      <c r="A29" s="9" t="s">
        <v>35</v>
      </c>
      <c r="B29" s="7"/>
      <c r="C29" s="27"/>
      <c r="D29" s="12"/>
      <c r="E29" s="26"/>
    </row>
    <row r="30" spans="1:5" ht="22.5" customHeight="1" x14ac:dyDescent="0.2">
      <c r="A30" s="13" t="s">
        <v>36</v>
      </c>
      <c r="B30" s="11" t="s">
        <v>11</v>
      </c>
      <c r="C30" s="26">
        <v>200000</v>
      </c>
      <c r="D30" s="12">
        <f>IF((($D$2&gt;=10)*($D$2&lt;=11))=1,2,1)</f>
        <v>1</v>
      </c>
      <c r="E30" s="26">
        <f t="shared" si="1"/>
        <v>200000</v>
      </c>
    </row>
    <row r="31" spans="1:5" ht="22.5" customHeight="1" x14ac:dyDescent="0.3">
      <c r="A31" s="9" t="s">
        <v>39</v>
      </c>
      <c r="B31" s="7"/>
      <c r="C31" s="27"/>
      <c r="D31" s="12"/>
      <c r="E31" s="26">
        <f t="shared" si="1"/>
        <v>0</v>
      </c>
    </row>
    <row r="32" spans="1:5" ht="22.5" customHeight="1" x14ac:dyDescent="0.2">
      <c r="A32" s="10" t="s">
        <v>41</v>
      </c>
      <c r="B32" s="11" t="s">
        <v>32</v>
      </c>
      <c r="C32" s="26">
        <v>250000</v>
      </c>
      <c r="D32" s="12">
        <f>IF((($D$2&gt;=4)*($D$2&lt;=11))=1,$C$2,0)</f>
        <v>3</v>
      </c>
      <c r="E32" s="26">
        <f t="shared" si="1"/>
        <v>750000</v>
      </c>
    </row>
    <row r="33" spans="1:5" ht="22.5" customHeight="1" x14ac:dyDescent="0.3">
      <c r="A33" s="15" t="s">
        <v>42</v>
      </c>
      <c r="B33" s="7"/>
      <c r="C33" s="27"/>
      <c r="D33" s="12"/>
      <c r="E33" s="26">
        <f t="shared" si="1"/>
        <v>0</v>
      </c>
    </row>
    <row r="34" spans="1:5" ht="22.5" customHeight="1" x14ac:dyDescent="0.3">
      <c r="A34" s="9" t="s">
        <v>43</v>
      </c>
      <c r="B34" s="7"/>
      <c r="C34" s="27"/>
      <c r="D34" s="12"/>
      <c r="E34" s="26">
        <f t="shared" si="1"/>
        <v>0</v>
      </c>
    </row>
    <row r="35" spans="1:5" ht="22.5" customHeight="1" x14ac:dyDescent="0.2">
      <c r="A35" s="13" t="s">
        <v>44</v>
      </c>
      <c r="B35" s="11" t="s">
        <v>45</v>
      </c>
      <c r="C35" s="26">
        <v>50000</v>
      </c>
      <c r="D35" s="12">
        <f>ROUNDUP(D2*C2*3/24,0)</f>
        <v>3</v>
      </c>
      <c r="E35" s="26">
        <f t="shared" si="1"/>
        <v>150000</v>
      </c>
    </row>
    <row r="36" spans="1:5" ht="22.5" customHeight="1" x14ac:dyDescent="0.2">
      <c r="A36" s="13" t="s">
        <v>46</v>
      </c>
      <c r="B36" s="11" t="s">
        <v>47</v>
      </c>
      <c r="C36" s="26">
        <v>100000</v>
      </c>
      <c r="D36" s="12">
        <v>1</v>
      </c>
      <c r="E36" s="26">
        <f t="shared" si="1"/>
        <v>100000</v>
      </c>
    </row>
    <row r="37" spans="1:5" ht="22.5" customHeight="1" x14ac:dyDescent="0.2">
      <c r="A37" s="13" t="s">
        <v>48</v>
      </c>
      <c r="B37" s="11" t="s">
        <v>20</v>
      </c>
      <c r="C37" s="26">
        <v>60000</v>
      </c>
      <c r="D37" s="12">
        <f>D2</f>
        <v>7</v>
      </c>
      <c r="E37" s="26">
        <f t="shared" si="1"/>
        <v>420000</v>
      </c>
    </row>
    <row r="38" spans="1:5" s="1" customFormat="1" ht="30" customHeight="1" x14ac:dyDescent="0.2">
      <c r="A38" s="17" t="s">
        <v>49</v>
      </c>
      <c r="B38" s="16"/>
      <c r="C38" s="5"/>
      <c r="D38" s="12"/>
      <c r="E38" s="29">
        <f>SUM(E7:E37)</f>
        <v>13562500</v>
      </c>
    </row>
    <row r="39" spans="1:5" ht="36" customHeight="1" x14ac:dyDescent="0.2">
      <c r="A39" s="17" t="s">
        <v>50</v>
      </c>
      <c r="B39" s="8"/>
      <c r="C39" s="8"/>
      <c r="D39" s="8"/>
      <c r="E39" s="29">
        <f>E38/D2</f>
        <v>1937500</v>
      </c>
    </row>
  </sheetData>
  <pageMargins left="0.25" right="0.25" top="0.75" bottom="0.75" header="0.3" footer="0.3"/>
  <pageSetup paperSize="9" scale="57" fitToHeight="0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6ED92-4358-3440-AF9E-729E21DABA93}">
  <sheetPr>
    <pageSetUpPr fitToPage="1"/>
  </sheetPr>
  <dimension ref="A1:E38"/>
  <sheetViews>
    <sheetView topLeftCell="A7" zoomScale="70" zoomScaleNormal="70" workbookViewId="0">
      <selection sqref="A1:E38"/>
    </sheetView>
  </sheetViews>
  <sheetFormatPr defaultColWidth="9" defaultRowHeight="12.75" x14ac:dyDescent="0.2"/>
  <cols>
    <col min="1" max="1" width="93.83203125" customWidth="1"/>
    <col min="2" max="2" width="20.6640625" customWidth="1"/>
    <col min="3" max="3" width="29.1640625" customWidth="1"/>
    <col min="4" max="4" width="21.6640625" customWidth="1"/>
    <col min="5" max="5" width="25.33203125" customWidth="1"/>
    <col min="8" max="8" width="7" bestFit="1" customWidth="1"/>
    <col min="9" max="10" width="20.83203125" bestFit="1" customWidth="1"/>
    <col min="11" max="11" width="18.6640625" bestFit="1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5" ht="25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60</v>
      </c>
    </row>
    <row r="2" spans="1:5" ht="27.75" customHeight="1" x14ac:dyDescent="0.2">
      <c r="A2" s="3" t="s">
        <v>59</v>
      </c>
      <c r="B2" s="3">
        <v>29</v>
      </c>
      <c r="C2" s="3">
        <v>3</v>
      </c>
      <c r="D2" s="30">
        <v>8</v>
      </c>
      <c r="E2" s="52">
        <v>2550000</v>
      </c>
    </row>
    <row r="3" spans="1:5" ht="27.75" customHeight="1" x14ac:dyDescent="0.2">
      <c r="A3" s="4"/>
      <c r="B3" s="4"/>
      <c r="C3" s="4"/>
    </row>
    <row r="4" spans="1:5" ht="35.25" customHeight="1" x14ac:dyDescent="0.2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</row>
    <row r="5" spans="1:5" ht="22.5" customHeight="1" x14ac:dyDescent="0.3">
      <c r="A5" s="6" t="s">
        <v>9</v>
      </c>
      <c r="B5" s="7"/>
      <c r="C5" s="7"/>
      <c r="D5" s="8"/>
      <c r="E5" s="8"/>
    </row>
    <row r="6" spans="1:5" ht="22.5" customHeight="1" x14ac:dyDescent="0.3">
      <c r="A6" s="9" t="s">
        <v>10</v>
      </c>
      <c r="B6" s="7"/>
      <c r="C6" s="7"/>
      <c r="D6" s="8"/>
      <c r="E6" s="8"/>
    </row>
    <row r="7" spans="1:5" ht="22.5" customHeight="1" x14ac:dyDescent="0.2">
      <c r="A7" s="10" t="s">
        <v>12</v>
      </c>
      <c r="B7" s="11" t="s">
        <v>11</v>
      </c>
      <c r="C7" s="26">
        <v>337500</v>
      </c>
      <c r="D7" s="12">
        <v>4</v>
      </c>
      <c r="E7" s="26">
        <f>C7*D7</f>
        <v>1350000</v>
      </c>
    </row>
    <row r="8" spans="1:5" ht="22.5" customHeight="1" x14ac:dyDescent="0.3">
      <c r="A8" s="9" t="s">
        <v>14</v>
      </c>
      <c r="B8" s="7"/>
      <c r="C8" s="27"/>
      <c r="D8" s="12"/>
      <c r="E8" s="26"/>
    </row>
    <row r="9" spans="1:5" ht="22.5" customHeight="1" x14ac:dyDescent="0.2">
      <c r="A9" s="10" t="s">
        <v>15</v>
      </c>
      <c r="B9" s="11" t="s">
        <v>11</v>
      </c>
      <c r="C9" s="26">
        <v>750000</v>
      </c>
      <c r="D9" s="12">
        <v>4</v>
      </c>
      <c r="E9" s="26">
        <f t="shared" ref="E9:E23" si="0">C9*D9</f>
        <v>3000000</v>
      </c>
    </row>
    <row r="10" spans="1:5" ht="22.5" customHeight="1" x14ac:dyDescent="0.3">
      <c r="A10" s="6" t="s">
        <v>17</v>
      </c>
      <c r="B10" s="7"/>
      <c r="C10" s="27"/>
      <c r="D10" s="12"/>
      <c r="E10" s="26">
        <f t="shared" si="0"/>
        <v>0</v>
      </c>
    </row>
    <row r="11" spans="1:5" ht="22.5" customHeight="1" x14ac:dyDescent="0.3">
      <c r="A11" s="9" t="s">
        <v>18</v>
      </c>
      <c r="B11" s="7"/>
      <c r="C11" s="27"/>
      <c r="D11" s="12"/>
      <c r="E11" s="26">
        <f t="shared" si="0"/>
        <v>0</v>
      </c>
    </row>
    <row r="12" spans="1:5" ht="22.5" customHeight="1" x14ac:dyDescent="0.2">
      <c r="A12" s="10" t="s">
        <v>19</v>
      </c>
      <c r="B12" s="11" t="s">
        <v>20</v>
      </c>
      <c r="C12" s="26">
        <v>75000</v>
      </c>
      <c r="D12" s="12">
        <f>D2</f>
        <v>8</v>
      </c>
      <c r="E12" s="26">
        <f t="shared" si="0"/>
        <v>600000</v>
      </c>
    </row>
    <row r="13" spans="1:5" ht="22.5" customHeight="1" x14ac:dyDescent="0.2">
      <c r="A13" s="13" t="s">
        <v>58</v>
      </c>
      <c r="B13" s="11" t="s">
        <v>20</v>
      </c>
      <c r="C13" s="26">
        <v>35000</v>
      </c>
      <c r="D13" s="12">
        <f>D2</f>
        <v>8</v>
      </c>
      <c r="E13" s="26">
        <f t="shared" si="0"/>
        <v>280000</v>
      </c>
    </row>
    <row r="14" spans="1:5" ht="22.5" customHeight="1" x14ac:dyDescent="0.2">
      <c r="A14" s="10" t="s">
        <v>21</v>
      </c>
      <c r="B14" s="11" t="s">
        <v>20</v>
      </c>
      <c r="C14" s="26">
        <v>25000</v>
      </c>
      <c r="D14" s="12">
        <f>D2</f>
        <v>8</v>
      </c>
      <c r="E14" s="26">
        <f t="shared" si="0"/>
        <v>200000</v>
      </c>
    </row>
    <row r="15" spans="1:5" ht="22.5" customHeight="1" x14ac:dyDescent="0.2">
      <c r="A15" s="10" t="s">
        <v>22</v>
      </c>
      <c r="B15" s="11" t="s">
        <v>11</v>
      </c>
      <c r="C15" s="26">
        <v>250000</v>
      </c>
      <c r="D15" s="12">
        <f>IF($D$2=4,0,1)</f>
        <v>1</v>
      </c>
      <c r="E15" s="26">
        <f t="shared" si="0"/>
        <v>250000</v>
      </c>
    </row>
    <row r="16" spans="1:5" ht="22.5" customHeight="1" x14ac:dyDescent="0.2">
      <c r="A16" s="13" t="s">
        <v>56</v>
      </c>
      <c r="B16" s="11" t="s">
        <v>20</v>
      </c>
      <c r="C16" s="26">
        <v>65000</v>
      </c>
      <c r="D16" s="12">
        <f>D2</f>
        <v>8</v>
      </c>
      <c r="E16" s="26">
        <f t="shared" si="0"/>
        <v>520000</v>
      </c>
    </row>
    <row r="17" spans="1:5" ht="22.5" customHeight="1" x14ac:dyDescent="0.2">
      <c r="A17" s="13" t="s">
        <v>57</v>
      </c>
      <c r="B17" s="11" t="s">
        <v>20</v>
      </c>
      <c r="C17" s="26">
        <v>65000</v>
      </c>
      <c r="D17" s="12">
        <f>D2</f>
        <v>8</v>
      </c>
      <c r="E17" s="26">
        <f t="shared" si="0"/>
        <v>520000</v>
      </c>
    </row>
    <row r="18" spans="1:5" ht="22.5" customHeight="1" x14ac:dyDescent="0.3">
      <c r="A18" s="9" t="s">
        <v>23</v>
      </c>
      <c r="B18" s="7"/>
      <c r="C18" s="28"/>
      <c r="D18" s="12"/>
      <c r="E18" s="26"/>
    </row>
    <row r="19" spans="1:5" ht="22.5" customHeight="1" x14ac:dyDescent="0.2">
      <c r="A19" s="10" t="s">
        <v>24</v>
      </c>
      <c r="B19" s="11" t="s">
        <v>20</v>
      </c>
      <c r="C19" s="26">
        <v>160000</v>
      </c>
      <c r="D19" s="12">
        <f>D2</f>
        <v>8</v>
      </c>
      <c r="E19" s="26">
        <f t="shared" si="0"/>
        <v>1280000</v>
      </c>
    </row>
    <row r="20" spans="1:5" ht="22.5" customHeight="1" x14ac:dyDescent="0.2">
      <c r="A20" s="13" t="s">
        <v>25</v>
      </c>
      <c r="B20" s="11" t="s">
        <v>20</v>
      </c>
      <c r="C20" s="26">
        <v>500000</v>
      </c>
      <c r="D20" s="12">
        <f>ROUNDUP(D2/4,0)</f>
        <v>2</v>
      </c>
      <c r="E20" s="26">
        <f t="shared" si="0"/>
        <v>1000000</v>
      </c>
    </row>
    <row r="21" spans="1:5" ht="22.5" customHeight="1" x14ac:dyDescent="0.3">
      <c r="A21" s="14" t="s">
        <v>26</v>
      </c>
      <c r="B21" s="7"/>
      <c r="C21" s="28"/>
      <c r="D21" s="12"/>
      <c r="E21" s="26"/>
    </row>
    <row r="22" spans="1:5" ht="22.5" customHeight="1" x14ac:dyDescent="0.2">
      <c r="A22" s="13" t="s">
        <v>27</v>
      </c>
      <c r="B22" s="11" t="s">
        <v>20</v>
      </c>
      <c r="C22" s="26">
        <v>90000</v>
      </c>
      <c r="D22" s="12">
        <f>D2</f>
        <v>8</v>
      </c>
      <c r="E22" s="26">
        <f t="shared" si="0"/>
        <v>720000</v>
      </c>
    </row>
    <row r="23" spans="1:5" ht="22.5" customHeight="1" x14ac:dyDescent="0.2">
      <c r="A23" s="10" t="s">
        <v>28</v>
      </c>
      <c r="B23" s="11" t="s">
        <v>11</v>
      </c>
      <c r="C23" s="26">
        <v>100000</v>
      </c>
      <c r="D23" s="12">
        <v>1</v>
      </c>
      <c r="E23" s="26">
        <f t="shared" si="0"/>
        <v>100000</v>
      </c>
    </row>
    <row r="24" spans="1:5" ht="22.5" customHeight="1" x14ac:dyDescent="0.3">
      <c r="A24" s="15" t="s">
        <v>29</v>
      </c>
      <c r="B24" s="7"/>
      <c r="C24" s="27"/>
      <c r="D24" s="12"/>
      <c r="E24" s="26"/>
    </row>
    <row r="25" spans="1:5" ht="22.5" customHeight="1" x14ac:dyDescent="0.3">
      <c r="A25" s="9" t="s">
        <v>30</v>
      </c>
      <c r="B25" s="7"/>
      <c r="C25" s="27"/>
      <c r="D25" s="12"/>
      <c r="E25" s="26"/>
    </row>
    <row r="26" spans="1:5" ht="22.5" customHeight="1" x14ac:dyDescent="0.2">
      <c r="A26" s="10" t="s">
        <v>33</v>
      </c>
      <c r="B26" s="11" t="s">
        <v>32</v>
      </c>
      <c r="C26" s="26">
        <v>1100000</v>
      </c>
      <c r="D26" s="12">
        <f>IF((($D$2&gt;=4)*($D$2&lt;=11))=1,$C$2,0)</f>
        <v>3</v>
      </c>
      <c r="E26" s="26">
        <f t="shared" ref="E26:E36" si="1">C26*D26</f>
        <v>3300000</v>
      </c>
    </row>
    <row r="27" spans="1:5" ht="22.5" customHeight="1" x14ac:dyDescent="0.3">
      <c r="A27" s="9" t="s">
        <v>35</v>
      </c>
      <c r="B27" s="7"/>
      <c r="C27" s="27"/>
      <c r="D27" s="12"/>
      <c r="E27" s="26"/>
    </row>
    <row r="28" spans="1:5" ht="22.5" customHeight="1" x14ac:dyDescent="0.2">
      <c r="A28" s="13" t="s">
        <v>36</v>
      </c>
      <c r="B28" s="11" t="s">
        <v>11</v>
      </c>
      <c r="C28" s="26">
        <v>200000</v>
      </c>
      <c r="D28" s="12">
        <f>IF((($D$2&gt;=10)*($D$2&lt;=11))=1,2,1)</f>
        <v>1</v>
      </c>
      <c r="E28" s="26">
        <f t="shared" si="1"/>
        <v>200000</v>
      </c>
    </row>
    <row r="29" spans="1:5" ht="22.5" customHeight="1" x14ac:dyDescent="0.3">
      <c r="A29" s="15" t="s">
        <v>38</v>
      </c>
      <c r="B29" s="7"/>
      <c r="C29" s="27"/>
      <c r="D29" s="12"/>
      <c r="E29" s="26">
        <f t="shared" si="1"/>
        <v>0</v>
      </c>
    </row>
    <row r="30" spans="1:5" ht="22.5" customHeight="1" x14ac:dyDescent="0.3">
      <c r="A30" s="9" t="s">
        <v>39</v>
      </c>
      <c r="B30" s="7"/>
      <c r="C30" s="27"/>
      <c r="D30" s="12"/>
      <c r="E30" s="26">
        <f t="shared" si="1"/>
        <v>0</v>
      </c>
    </row>
    <row r="31" spans="1:5" ht="22.5" customHeight="1" x14ac:dyDescent="0.2">
      <c r="A31" s="10" t="s">
        <v>41</v>
      </c>
      <c r="B31" s="11" t="s">
        <v>32</v>
      </c>
      <c r="C31" s="26">
        <v>250000</v>
      </c>
      <c r="D31" s="12">
        <f>IF((($D$2&gt;=4)*($D$2&lt;=11))=1,$C$2,0)</f>
        <v>3</v>
      </c>
      <c r="E31" s="26">
        <f t="shared" si="1"/>
        <v>750000</v>
      </c>
    </row>
    <row r="32" spans="1:5" ht="22.5" customHeight="1" x14ac:dyDescent="0.3">
      <c r="A32" s="15" t="s">
        <v>42</v>
      </c>
      <c r="B32" s="7"/>
      <c r="C32" s="27"/>
      <c r="D32" s="12"/>
      <c r="E32" s="26">
        <f t="shared" si="1"/>
        <v>0</v>
      </c>
    </row>
    <row r="33" spans="1:5" ht="22.5" customHeight="1" x14ac:dyDescent="0.3">
      <c r="A33" s="9" t="s">
        <v>43</v>
      </c>
      <c r="B33" s="7"/>
      <c r="C33" s="27"/>
      <c r="D33" s="12"/>
      <c r="E33" s="26">
        <f t="shared" si="1"/>
        <v>0</v>
      </c>
    </row>
    <row r="34" spans="1:5" ht="22.5" customHeight="1" x14ac:dyDescent="0.2">
      <c r="A34" s="13" t="s">
        <v>44</v>
      </c>
      <c r="B34" s="11" t="s">
        <v>45</v>
      </c>
      <c r="C34" s="26">
        <v>50000</v>
      </c>
      <c r="D34" s="12">
        <f>ROUNDUP(D2*C2*3/24,0)</f>
        <v>3</v>
      </c>
      <c r="E34" s="26">
        <f t="shared" si="1"/>
        <v>150000</v>
      </c>
    </row>
    <row r="35" spans="1:5" ht="22.5" customHeight="1" x14ac:dyDescent="0.2">
      <c r="A35" s="13" t="s">
        <v>46</v>
      </c>
      <c r="B35" s="11" t="s">
        <v>47</v>
      </c>
      <c r="C35" s="26">
        <v>100000</v>
      </c>
      <c r="D35" s="12">
        <v>1</v>
      </c>
      <c r="E35" s="26">
        <f t="shared" si="1"/>
        <v>100000</v>
      </c>
    </row>
    <row r="36" spans="1:5" ht="22.5" customHeight="1" x14ac:dyDescent="0.2">
      <c r="A36" s="13" t="s">
        <v>48</v>
      </c>
      <c r="B36" s="11" t="s">
        <v>20</v>
      </c>
      <c r="C36" s="26">
        <v>60000</v>
      </c>
      <c r="D36" s="12">
        <f>D2</f>
        <v>8</v>
      </c>
      <c r="E36" s="26">
        <f t="shared" si="1"/>
        <v>480000</v>
      </c>
    </row>
    <row r="37" spans="1:5" s="1" customFormat="1" ht="30" customHeight="1" x14ac:dyDescent="0.2">
      <c r="A37" s="17" t="s">
        <v>49</v>
      </c>
      <c r="B37" s="16"/>
      <c r="C37" s="5"/>
      <c r="D37" s="12"/>
      <c r="E37" s="29">
        <f>SUM(E7:E36)</f>
        <v>14800000</v>
      </c>
    </row>
    <row r="38" spans="1:5" ht="36" customHeight="1" x14ac:dyDescent="0.2">
      <c r="A38" s="17" t="s">
        <v>50</v>
      </c>
      <c r="B38" s="8"/>
      <c r="C38" s="8"/>
      <c r="D38" s="8"/>
      <c r="E38" s="29">
        <f>E37/D2</f>
        <v>1850000</v>
      </c>
    </row>
  </sheetData>
  <pageMargins left="0.25" right="0.25" top="0.75" bottom="0.75" header="0.3" footer="0.3"/>
  <pageSetup paperSize="10000" scale="58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B3236-4A3D-6E42-B85F-044291B21F70}">
  <sheetPr>
    <pageSetUpPr fitToPage="1"/>
  </sheetPr>
  <dimension ref="A1:N40"/>
  <sheetViews>
    <sheetView tabSelected="1" topLeftCell="A18" zoomScale="70" zoomScaleNormal="70" workbookViewId="0">
      <selection sqref="A1:E40"/>
    </sheetView>
  </sheetViews>
  <sheetFormatPr defaultColWidth="9" defaultRowHeight="12.75" x14ac:dyDescent="0.2"/>
  <cols>
    <col min="1" max="1" width="101.33203125" bestFit="1" customWidth="1"/>
    <col min="2" max="2" width="20.6640625" customWidth="1"/>
    <col min="3" max="3" width="29.1640625" customWidth="1"/>
    <col min="4" max="4" width="21.6640625" customWidth="1"/>
    <col min="5" max="5" width="25.33203125" customWidth="1"/>
    <col min="8" max="8" width="7" bestFit="1" customWidth="1"/>
    <col min="9" max="10" width="20.83203125" bestFit="1" customWidth="1"/>
    <col min="11" max="11" width="18.6640625" bestFit="1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14" ht="25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60</v>
      </c>
    </row>
    <row r="2" spans="1:14" ht="27.75" customHeight="1" x14ac:dyDescent="0.2">
      <c r="A2" s="3" t="s">
        <v>59</v>
      </c>
      <c r="B2" s="3">
        <v>29</v>
      </c>
      <c r="C2" s="3">
        <v>3</v>
      </c>
      <c r="D2" s="30">
        <v>9</v>
      </c>
      <c r="E2" s="52">
        <v>2550000</v>
      </c>
    </row>
    <row r="3" spans="1:14" ht="27.75" customHeight="1" x14ac:dyDescent="0.2">
      <c r="A3" s="4"/>
      <c r="B3" s="4"/>
      <c r="C3" s="4"/>
    </row>
    <row r="4" spans="1:14" ht="35.25" customHeight="1" x14ac:dyDescent="0.2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</row>
    <row r="5" spans="1:14" ht="22.5" customHeight="1" x14ac:dyDescent="0.3">
      <c r="A5" s="6" t="s">
        <v>9</v>
      </c>
      <c r="B5" s="7"/>
      <c r="C5" s="7"/>
      <c r="D5" s="8"/>
      <c r="E5" s="8"/>
    </row>
    <row r="6" spans="1:14" ht="22.5" customHeight="1" x14ac:dyDescent="0.3">
      <c r="A6" s="9" t="s">
        <v>10</v>
      </c>
      <c r="B6" s="7"/>
      <c r="C6" s="7"/>
      <c r="D6" s="8"/>
      <c r="E6" s="8"/>
    </row>
    <row r="7" spans="1:14" ht="22.5" customHeight="1" x14ac:dyDescent="0.2">
      <c r="A7" s="10" t="s">
        <v>12</v>
      </c>
      <c r="B7" s="11" t="s">
        <v>11</v>
      </c>
      <c r="C7" s="26">
        <v>337500</v>
      </c>
      <c r="D7" s="12">
        <v>3</v>
      </c>
      <c r="E7" s="26">
        <f>C7*D7</f>
        <v>1012500</v>
      </c>
    </row>
    <row r="8" spans="1:14" ht="22.5" customHeight="1" x14ac:dyDescent="0.25">
      <c r="A8" s="10" t="s">
        <v>13</v>
      </c>
      <c r="B8" s="11" t="s">
        <v>11</v>
      </c>
      <c r="C8" s="26">
        <v>562500</v>
      </c>
      <c r="D8" s="12">
        <v>1</v>
      </c>
      <c r="E8" s="26">
        <f t="shared" ref="E8:E25" si="0">C8*D8</f>
        <v>562500</v>
      </c>
      <c r="H8" s="19"/>
      <c r="I8" s="20"/>
      <c r="J8" s="20"/>
      <c r="K8" s="21"/>
      <c r="L8" s="21"/>
      <c r="M8" s="21"/>
      <c r="N8" s="21"/>
    </row>
    <row r="9" spans="1:14" ht="22.5" customHeight="1" x14ac:dyDescent="0.3">
      <c r="A9" s="9" t="s">
        <v>14</v>
      </c>
      <c r="B9" s="7"/>
      <c r="C9" s="27"/>
      <c r="D9" s="12"/>
      <c r="E9" s="26"/>
    </row>
    <row r="10" spans="1:14" ht="22.5" customHeight="1" x14ac:dyDescent="0.2">
      <c r="A10" s="10" t="s">
        <v>15</v>
      </c>
      <c r="B10" s="11" t="s">
        <v>11</v>
      </c>
      <c r="C10" s="26">
        <v>750000</v>
      </c>
      <c r="D10" s="12">
        <v>3</v>
      </c>
      <c r="E10" s="26">
        <f t="shared" si="0"/>
        <v>2250000</v>
      </c>
    </row>
    <row r="11" spans="1:14" ht="22.5" customHeight="1" x14ac:dyDescent="0.2">
      <c r="A11" s="10" t="s">
        <v>16</v>
      </c>
      <c r="B11" s="11" t="s">
        <v>11</v>
      </c>
      <c r="C11" s="26">
        <v>950000</v>
      </c>
      <c r="D11" s="12">
        <v>1</v>
      </c>
      <c r="E11" s="26">
        <f t="shared" si="0"/>
        <v>950000</v>
      </c>
    </row>
    <row r="12" spans="1:14" ht="22.5" customHeight="1" x14ac:dyDescent="0.3">
      <c r="A12" s="6" t="s">
        <v>17</v>
      </c>
      <c r="B12" s="7"/>
      <c r="C12" s="27"/>
      <c r="D12" s="12"/>
      <c r="E12" s="26">
        <f t="shared" si="0"/>
        <v>0</v>
      </c>
    </row>
    <row r="13" spans="1:14" ht="22.5" customHeight="1" x14ac:dyDescent="0.3">
      <c r="A13" s="9" t="s">
        <v>18</v>
      </c>
      <c r="B13" s="7"/>
      <c r="C13" s="27"/>
      <c r="D13" s="12"/>
      <c r="E13" s="26">
        <f t="shared" si="0"/>
        <v>0</v>
      </c>
    </row>
    <row r="14" spans="1:14" ht="22.5" customHeight="1" x14ac:dyDescent="0.2">
      <c r="A14" s="10" t="s">
        <v>19</v>
      </c>
      <c r="B14" s="11" t="s">
        <v>20</v>
      </c>
      <c r="C14" s="26">
        <v>75000</v>
      </c>
      <c r="D14" s="12">
        <f>D2</f>
        <v>9</v>
      </c>
      <c r="E14" s="26">
        <f t="shared" si="0"/>
        <v>675000</v>
      </c>
    </row>
    <row r="15" spans="1:14" ht="22.5" customHeight="1" x14ac:dyDescent="0.2">
      <c r="A15" s="13" t="s">
        <v>58</v>
      </c>
      <c r="B15" s="11" t="s">
        <v>20</v>
      </c>
      <c r="C15" s="26">
        <v>35000</v>
      </c>
      <c r="D15" s="12">
        <f>D2</f>
        <v>9</v>
      </c>
      <c r="E15" s="26">
        <f t="shared" si="0"/>
        <v>315000</v>
      </c>
    </row>
    <row r="16" spans="1:14" ht="22.5" customHeight="1" x14ac:dyDescent="0.2">
      <c r="A16" s="10" t="s">
        <v>21</v>
      </c>
      <c r="B16" s="11" t="s">
        <v>20</v>
      </c>
      <c r="C16" s="26">
        <v>25000</v>
      </c>
      <c r="D16" s="12">
        <f>D2</f>
        <v>9</v>
      </c>
      <c r="E16" s="26">
        <f t="shared" si="0"/>
        <v>225000</v>
      </c>
    </row>
    <row r="17" spans="1:5" ht="22.5" customHeight="1" x14ac:dyDescent="0.2">
      <c r="A17" s="10" t="s">
        <v>22</v>
      </c>
      <c r="B17" s="11" t="s">
        <v>11</v>
      </c>
      <c r="C17" s="26">
        <v>250000</v>
      </c>
      <c r="D17" s="12">
        <f>IF($D$2=4,0,1)</f>
        <v>1</v>
      </c>
      <c r="E17" s="26">
        <f t="shared" si="0"/>
        <v>250000</v>
      </c>
    </row>
    <row r="18" spans="1:5" ht="22.5" customHeight="1" x14ac:dyDescent="0.2">
      <c r="A18" s="13" t="s">
        <v>56</v>
      </c>
      <c r="B18" s="11" t="s">
        <v>20</v>
      </c>
      <c r="C18" s="26">
        <v>65000</v>
      </c>
      <c r="D18" s="12">
        <f>D2</f>
        <v>9</v>
      </c>
      <c r="E18" s="26">
        <f t="shared" si="0"/>
        <v>585000</v>
      </c>
    </row>
    <row r="19" spans="1:5" ht="22.5" customHeight="1" x14ac:dyDescent="0.2">
      <c r="A19" s="13" t="s">
        <v>57</v>
      </c>
      <c r="B19" s="11" t="s">
        <v>20</v>
      </c>
      <c r="C19" s="26">
        <v>65000</v>
      </c>
      <c r="D19" s="12">
        <f>D2</f>
        <v>9</v>
      </c>
      <c r="E19" s="26">
        <f t="shared" si="0"/>
        <v>585000</v>
      </c>
    </row>
    <row r="20" spans="1:5" ht="22.5" customHeight="1" x14ac:dyDescent="0.3">
      <c r="A20" s="9" t="s">
        <v>23</v>
      </c>
      <c r="B20" s="7"/>
      <c r="C20" s="28"/>
      <c r="D20" s="12"/>
      <c r="E20" s="26"/>
    </row>
    <row r="21" spans="1:5" ht="22.5" customHeight="1" x14ac:dyDescent="0.2">
      <c r="A21" s="10" t="s">
        <v>24</v>
      </c>
      <c r="B21" s="11" t="s">
        <v>20</v>
      </c>
      <c r="C21" s="26">
        <v>160000</v>
      </c>
      <c r="D21" s="12">
        <f>D2</f>
        <v>9</v>
      </c>
      <c r="E21" s="26">
        <f t="shared" si="0"/>
        <v>1440000</v>
      </c>
    </row>
    <row r="22" spans="1:5" ht="22.5" customHeight="1" x14ac:dyDescent="0.2">
      <c r="A22" s="13" t="s">
        <v>25</v>
      </c>
      <c r="B22" s="11" t="s">
        <v>20</v>
      </c>
      <c r="C22" s="26">
        <v>500000</v>
      </c>
      <c r="D22" s="12">
        <f>ROUNDUP(D2/4,0)</f>
        <v>3</v>
      </c>
      <c r="E22" s="26">
        <f t="shared" si="0"/>
        <v>1500000</v>
      </c>
    </row>
    <row r="23" spans="1:5" ht="22.5" customHeight="1" x14ac:dyDescent="0.3">
      <c r="A23" s="14" t="s">
        <v>26</v>
      </c>
      <c r="B23" s="7"/>
      <c r="C23" s="28"/>
      <c r="D23" s="12"/>
      <c r="E23" s="26"/>
    </row>
    <row r="24" spans="1:5" ht="22.5" customHeight="1" x14ac:dyDescent="0.2">
      <c r="A24" s="13" t="s">
        <v>27</v>
      </c>
      <c r="B24" s="11" t="s">
        <v>20</v>
      </c>
      <c r="C24" s="26">
        <v>90000</v>
      </c>
      <c r="D24" s="12">
        <f>D2</f>
        <v>9</v>
      </c>
      <c r="E24" s="26">
        <f t="shared" si="0"/>
        <v>810000</v>
      </c>
    </row>
    <row r="25" spans="1:5" ht="22.5" customHeight="1" x14ac:dyDescent="0.2">
      <c r="A25" s="10" t="s">
        <v>28</v>
      </c>
      <c r="B25" s="11" t="s">
        <v>11</v>
      </c>
      <c r="C25" s="26">
        <v>100000</v>
      </c>
      <c r="D25" s="12">
        <v>1</v>
      </c>
      <c r="E25" s="26">
        <f t="shared" si="0"/>
        <v>100000</v>
      </c>
    </row>
    <row r="26" spans="1:5" ht="22.5" customHeight="1" x14ac:dyDescent="0.3">
      <c r="A26" s="15" t="s">
        <v>29</v>
      </c>
      <c r="B26" s="7"/>
      <c r="C26" s="27"/>
      <c r="D26" s="12"/>
      <c r="E26" s="26"/>
    </row>
    <row r="27" spans="1:5" ht="22.5" customHeight="1" x14ac:dyDescent="0.3">
      <c r="A27" s="9" t="s">
        <v>30</v>
      </c>
      <c r="B27" s="7"/>
      <c r="C27" s="27"/>
      <c r="D27" s="12"/>
      <c r="E27" s="26"/>
    </row>
    <row r="28" spans="1:5" ht="22.5" customHeight="1" x14ac:dyDescent="0.2">
      <c r="A28" s="10" t="s">
        <v>33</v>
      </c>
      <c r="B28" s="11" t="s">
        <v>32</v>
      </c>
      <c r="C28" s="26">
        <v>1100000</v>
      </c>
      <c r="D28" s="12">
        <f>IF((($D$2&gt;=4)*($D$2&lt;=11))=1,$C$2,0)</f>
        <v>3</v>
      </c>
      <c r="E28" s="26">
        <f t="shared" ref="E28:E38" si="1">C28*D28</f>
        <v>3300000</v>
      </c>
    </row>
    <row r="29" spans="1:5" ht="22.5" customHeight="1" x14ac:dyDescent="0.3">
      <c r="A29" s="9" t="s">
        <v>35</v>
      </c>
      <c r="B29" s="7"/>
      <c r="C29" s="27"/>
      <c r="D29" s="12"/>
      <c r="E29" s="26"/>
    </row>
    <row r="30" spans="1:5" ht="22.5" customHeight="1" x14ac:dyDescent="0.2">
      <c r="A30" s="13" t="s">
        <v>36</v>
      </c>
      <c r="B30" s="11" t="s">
        <v>11</v>
      </c>
      <c r="C30" s="26">
        <v>200000</v>
      </c>
      <c r="D30" s="12">
        <f>IF((($D$2&gt;=10)*($D$2&lt;=11))=1,2,1)</f>
        <v>1</v>
      </c>
      <c r="E30" s="26">
        <f t="shared" si="1"/>
        <v>200000</v>
      </c>
    </row>
    <row r="31" spans="1:5" ht="22.5" customHeight="1" x14ac:dyDescent="0.3">
      <c r="A31" s="15" t="s">
        <v>38</v>
      </c>
      <c r="B31" s="7"/>
      <c r="C31" s="27"/>
      <c r="D31" s="12"/>
      <c r="E31" s="26">
        <f t="shared" si="1"/>
        <v>0</v>
      </c>
    </row>
    <row r="32" spans="1:5" ht="22.5" customHeight="1" x14ac:dyDescent="0.3">
      <c r="A32" s="9" t="s">
        <v>39</v>
      </c>
      <c r="B32" s="7"/>
      <c r="C32" s="27"/>
      <c r="D32" s="12"/>
      <c r="E32" s="26">
        <f t="shared" si="1"/>
        <v>0</v>
      </c>
    </row>
    <row r="33" spans="1:5" ht="22.5" customHeight="1" x14ac:dyDescent="0.2">
      <c r="A33" s="10" t="s">
        <v>41</v>
      </c>
      <c r="B33" s="11" t="s">
        <v>32</v>
      </c>
      <c r="C33" s="26">
        <v>250000</v>
      </c>
      <c r="D33" s="12">
        <f>IF((($D$2&gt;=4)*($D$2&lt;=11))=1,$C$2,0)</f>
        <v>3</v>
      </c>
      <c r="E33" s="26">
        <f t="shared" si="1"/>
        <v>750000</v>
      </c>
    </row>
    <row r="34" spans="1:5" ht="22.5" customHeight="1" x14ac:dyDescent="0.3">
      <c r="A34" s="15" t="s">
        <v>42</v>
      </c>
      <c r="B34" s="7"/>
      <c r="C34" s="27"/>
      <c r="D34" s="12"/>
      <c r="E34" s="26">
        <f t="shared" si="1"/>
        <v>0</v>
      </c>
    </row>
    <row r="35" spans="1:5" ht="22.5" customHeight="1" x14ac:dyDescent="0.3">
      <c r="A35" s="9" t="s">
        <v>43</v>
      </c>
      <c r="B35" s="7"/>
      <c r="C35" s="27"/>
      <c r="D35" s="12"/>
      <c r="E35" s="26">
        <f t="shared" si="1"/>
        <v>0</v>
      </c>
    </row>
    <row r="36" spans="1:5" ht="22.5" customHeight="1" x14ac:dyDescent="0.2">
      <c r="A36" s="13" t="s">
        <v>44</v>
      </c>
      <c r="B36" s="11" t="s">
        <v>45</v>
      </c>
      <c r="C36" s="26">
        <v>50000</v>
      </c>
      <c r="D36" s="12">
        <f>ROUNDUP(D2*C2*3/24,0)</f>
        <v>4</v>
      </c>
      <c r="E36" s="26">
        <f t="shared" si="1"/>
        <v>200000</v>
      </c>
    </row>
    <row r="37" spans="1:5" ht="22.5" customHeight="1" x14ac:dyDescent="0.2">
      <c r="A37" s="13" t="s">
        <v>46</v>
      </c>
      <c r="B37" s="11" t="s">
        <v>47</v>
      </c>
      <c r="C37" s="26">
        <v>100000</v>
      </c>
      <c r="D37" s="12">
        <v>1</v>
      </c>
      <c r="E37" s="26">
        <f t="shared" si="1"/>
        <v>100000</v>
      </c>
    </row>
    <row r="38" spans="1:5" ht="22.5" customHeight="1" x14ac:dyDescent="0.2">
      <c r="A38" s="13" t="s">
        <v>48</v>
      </c>
      <c r="B38" s="11" t="s">
        <v>20</v>
      </c>
      <c r="C38" s="26">
        <v>60000</v>
      </c>
      <c r="D38" s="12">
        <f>D2</f>
        <v>9</v>
      </c>
      <c r="E38" s="26">
        <f t="shared" si="1"/>
        <v>540000</v>
      </c>
    </row>
    <row r="39" spans="1:5" s="1" customFormat="1" ht="30" customHeight="1" x14ac:dyDescent="0.2">
      <c r="A39" s="17" t="s">
        <v>49</v>
      </c>
      <c r="B39" s="16"/>
      <c r="C39" s="5"/>
      <c r="D39" s="12"/>
      <c r="E39" s="29">
        <f>SUM(E7:E38)</f>
        <v>16350000</v>
      </c>
    </row>
    <row r="40" spans="1:5" ht="36" customHeight="1" x14ac:dyDescent="0.2">
      <c r="A40" s="17" t="s">
        <v>50</v>
      </c>
      <c r="B40" s="8"/>
      <c r="C40" s="8"/>
      <c r="D40" s="8"/>
      <c r="E40" s="29">
        <f>E39/D2</f>
        <v>1816666.6666666667</v>
      </c>
    </row>
  </sheetData>
  <pageMargins left="0.25" right="0.25" top="0.75" bottom="0.75" header="0.3" footer="0.3"/>
  <pageSetup paperSize="10000" scale="56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921D6-1B0D-A346-83D6-571600D3385F}">
  <sheetPr>
    <pageSetUpPr fitToPage="1"/>
  </sheetPr>
  <dimension ref="A1:E39"/>
  <sheetViews>
    <sheetView zoomScale="70" zoomScaleNormal="70" workbookViewId="0">
      <selection activeCell="E1" sqref="E1:E2"/>
    </sheetView>
  </sheetViews>
  <sheetFormatPr defaultColWidth="9" defaultRowHeight="12.75" x14ac:dyDescent="0.2"/>
  <cols>
    <col min="1" max="1" width="99" bestFit="1" customWidth="1"/>
    <col min="2" max="2" width="20.6640625" customWidth="1"/>
    <col min="3" max="3" width="29.1640625" customWidth="1"/>
    <col min="4" max="4" width="21.6640625" customWidth="1"/>
    <col min="5" max="5" width="25.33203125" customWidth="1"/>
    <col min="8" max="8" width="7" bestFit="1" customWidth="1"/>
    <col min="9" max="10" width="20.83203125" bestFit="1" customWidth="1"/>
    <col min="11" max="11" width="18.6640625" bestFit="1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5" ht="25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60</v>
      </c>
    </row>
    <row r="2" spans="1:5" ht="27.75" customHeight="1" x14ac:dyDescent="0.2">
      <c r="A2" s="3" t="s">
        <v>59</v>
      </c>
      <c r="B2" s="3">
        <v>29</v>
      </c>
      <c r="C2" s="3">
        <v>3</v>
      </c>
      <c r="D2" s="30">
        <v>10</v>
      </c>
      <c r="E2" s="52">
        <v>2550000</v>
      </c>
    </row>
    <row r="3" spans="1:5" ht="27.75" customHeight="1" x14ac:dyDescent="0.2">
      <c r="A3" s="4"/>
      <c r="B3" s="4"/>
      <c r="C3" s="4"/>
    </row>
    <row r="4" spans="1:5" ht="35.25" customHeight="1" x14ac:dyDescent="0.2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</row>
    <row r="5" spans="1:5" ht="22.5" customHeight="1" x14ac:dyDescent="0.3">
      <c r="A5" s="6" t="s">
        <v>9</v>
      </c>
      <c r="B5" s="7"/>
      <c r="C5" s="7"/>
      <c r="D5" s="8"/>
      <c r="E5" s="8"/>
    </row>
    <row r="6" spans="1:5" ht="22.5" customHeight="1" x14ac:dyDescent="0.3">
      <c r="A6" s="9" t="s">
        <v>10</v>
      </c>
      <c r="B6" s="7"/>
      <c r="C6" s="7"/>
      <c r="D6" s="8"/>
      <c r="E6" s="8"/>
    </row>
    <row r="7" spans="1:5" ht="22.5" customHeight="1" x14ac:dyDescent="0.2">
      <c r="A7" s="10" t="s">
        <v>12</v>
      </c>
      <c r="B7" s="11" t="s">
        <v>11</v>
      </c>
      <c r="C7" s="26">
        <v>337500</v>
      </c>
      <c r="D7" s="12">
        <v>5</v>
      </c>
      <c r="E7" s="26">
        <f>C7*D7</f>
        <v>1687500</v>
      </c>
    </row>
    <row r="8" spans="1:5" ht="22.5" customHeight="1" x14ac:dyDescent="0.3">
      <c r="A8" s="9" t="s">
        <v>14</v>
      </c>
      <c r="B8" s="7"/>
      <c r="C8" s="27"/>
      <c r="D8" s="12"/>
      <c r="E8" s="26"/>
    </row>
    <row r="9" spans="1:5" ht="22.5" customHeight="1" x14ac:dyDescent="0.2">
      <c r="A9" s="10" t="s">
        <v>15</v>
      </c>
      <c r="B9" s="11" t="s">
        <v>11</v>
      </c>
      <c r="C9" s="26">
        <v>750000</v>
      </c>
      <c r="D9" s="12">
        <v>5</v>
      </c>
      <c r="E9" s="26">
        <f t="shared" ref="E9:E23" si="0">C9*D9</f>
        <v>3750000</v>
      </c>
    </row>
    <row r="10" spans="1:5" ht="22.5" customHeight="1" x14ac:dyDescent="0.3">
      <c r="A10" s="6" t="s">
        <v>17</v>
      </c>
      <c r="B10" s="7"/>
      <c r="C10" s="27"/>
      <c r="D10" s="12"/>
      <c r="E10" s="26">
        <f t="shared" si="0"/>
        <v>0</v>
      </c>
    </row>
    <row r="11" spans="1:5" ht="22.5" customHeight="1" x14ac:dyDescent="0.3">
      <c r="A11" s="9" t="s">
        <v>18</v>
      </c>
      <c r="B11" s="7"/>
      <c r="C11" s="27"/>
      <c r="D11" s="12"/>
      <c r="E11" s="26">
        <f t="shared" si="0"/>
        <v>0</v>
      </c>
    </row>
    <row r="12" spans="1:5" ht="22.5" customHeight="1" x14ac:dyDescent="0.2">
      <c r="A12" s="10" t="s">
        <v>19</v>
      </c>
      <c r="B12" s="11" t="s">
        <v>20</v>
      </c>
      <c r="C12" s="26">
        <v>75000</v>
      </c>
      <c r="D12" s="12">
        <f>D2</f>
        <v>10</v>
      </c>
      <c r="E12" s="26">
        <f t="shared" si="0"/>
        <v>750000</v>
      </c>
    </row>
    <row r="13" spans="1:5" ht="22.5" customHeight="1" x14ac:dyDescent="0.2">
      <c r="A13" s="13" t="s">
        <v>58</v>
      </c>
      <c r="B13" s="11" t="s">
        <v>20</v>
      </c>
      <c r="C13" s="26">
        <v>35000</v>
      </c>
      <c r="D13" s="12">
        <f>D2</f>
        <v>10</v>
      </c>
      <c r="E13" s="26">
        <f t="shared" si="0"/>
        <v>350000</v>
      </c>
    </row>
    <row r="14" spans="1:5" ht="22.5" customHeight="1" x14ac:dyDescent="0.2">
      <c r="A14" s="10" t="s">
        <v>21</v>
      </c>
      <c r="B14" s="11" t="s">
        <v>20</v>
      </c>
      <c r="C14" s="26">
        <v>25000</v>
      </c>
      <c r="D14" s="12">
        <f>D2</f>
        <v>10</v>
      </c>
      <c r="E14" s="26">
        <f t="shared" si="0"/>
        <v>250000</v>
      </c>
    </row>
    <row r="15" spans="1:5" ht="22.5" customHeight="1" x14ac:dyDescent="0.2">
      <c r="A15" s="10" t="s">
        <v>22</v>
      </c>
      <c r="B15" s="11" t="s">
        <v>11</v>
      </c>
      <c r="C15" s="26">
        <v>250000</v>
      </c>
      <c r="D15" s="12">
        <f>IF($D$2=4,0,1)</f>
        <v>1</v>
      </c>
      <c r="E15" s="26">
        <f t="shared" si="0"/>
        <v>250000</v>
      </c>
    </row>
    <row r="16" spans="1:5" ht="22.5" customHeight="1" x14ac:dyDescent="0.2">
      <c r="A16" s="13" t="s">
        <v>56</v>
      </c>
      <c r="B16" s="11" t="s">
        <v>20</v>
      </c>
      <c r="C16" s="26">
        <v>65000</v>
      </c>
      <c r="D16" s="12">
        <f>D2</f>
        <v>10</v>
      </c>
      <c r="E16" s="26">
        <f t="shared" si="0"/>
        <v>650000</v>
      </c>
    </row>
    <row r="17" spans="1:5" ht="22.5" customHeight="1" x14ac:dyDescent="0.2">
      <c r="A17" s="13" t="s">
        <v>57</v>
      </c>
      <c r="B17" s="11" t="s">
        <v>20</v>
      </c>
      <c r="C17" s="26">
        <v>65000</v>
      </c>
      <c r="D17" s="12">
        <f>D2</f>
        <v>10</v>
      </c>
      <c r="E17" s="26">
        <f t="shared" si="0"/>
        <v>650000</v>
      </c>
    </row>
    <row r="18" spans="1:5" ht="22.5" customHeight="1" x14ac:dyDescent="0.3">
      <c r="A18" s="9" t="s">
        <v>23</v>
      </c>
      <c r="B18" s="7"/>
      <c r="C18" s="28"/>
      <c r="D18" s="12"/>
      <c r="E18" s="26"/>
    </row>
    <row r="19" spans="1:5" ht="22.5" customHeight="1" x14ac:dyDescent="0.2">
      <c r="A19" s="10" t="s">
        <v>24</v>
      </c>
      <c r="B19" s="11" t="s">
        <v>20</v>
      </c>
      <c r="C19" s="26">
        <v>160000</v>
      </c>
      <c r="D19" s="12">
        <f>D2</f>
        <v>10</v>
      </c>
      <c r="E19" s="26">
        <f t="shared" si="0"/>
        <v>1600000</v>
      </c>
    </row>
    <row r="20" spans="1:5" ht="22.5" customHeight="1" x14ac:dyDescent="0.2">
      <c r="A20" s="13" t="s">
        <v>25</v>
      </c>
      <c r="B20" s="11" t="s">
        <v>20</v>
      </c>
      <c r="C20" s="26">
        <v>500000</v>
      </c>
      <c r="D20" s="12">
        <f>ROUNDUP(D2/4,0)</f>
        <v>3</v>
      </c>
      <c r="E20" s="26">
        <f t="shared" si="0"/>
        <v>1500000</v>
      </c>
    </row>
    <row r="21" spans="1:5" ht="22.5" customHeight="1" x14ac:dyDescent="0.3">
      <c r="A21" s="14" t="s">
        <v>26</v>
      </c>
      <c r="B21" s="7"/>
      <c r="C21" s="28"/>
      <c r="D21" s="12"/>
      <c r="E21" s="26"/>
    </row>
    <row r="22" spans="1:5" ht="22.5" customHeight="1" x14ac:dyDescent="0.2">
      <c r="A22" s="13" t="s">
        <v>27</v>
      </c>
      <c r="B22" s="11" t="s">
        <v>20</v>
      </c>
      <c r="C22" s="26">
        <v>90000</v>
      </c>
      <c r="D22" s="12">
        <f>D2</f>
        <v>10</v>
      </c>
      <c r="E22" s="26">
        <f t="shared" si="0"/>
        <v>900000</v>
      </c>
    </row>
    <row r="23" spans="1:5" ht="22.5" customHeight="1" x14ac:dyDescent="0.2">
      <c r="A23" s="10" t="s">
        <v>28</v>
      </c>
      <c r="B23" s="11" t="s">
        <v>11</v>
      </c>
      <c r="C23" s="26">
        <v>100000</v>
      </c>
      <c r="D23" s="12">
        <v>1</v>
      </c>
      <c r="E23" s="26">
        <f t="shared" si="0"/>
        <v>100000</v>
      </c>
    </row>
    <row r="24" spans="1:5" ht="22.5" customHeight="1" x14ac:dyDescent="0.3">
      <c r="A24" s="15" t="s">
        <v>29</v>
      </c>
      <c r="B24" s="7"/>
      <c r="C24" s="27"/>
      <c r="D24" s="12"/>
      <c r="E24" s="26"/>
    </row>
    <row r="25" spans="1:5" ht="22.5" customHeight="1" x14ac:dyDescent="0.3">
      <c r="A25" s="9" t="s">
        <v>30</v>
      </c>
      <c r="B25" s="7"/>
      <c r="C25" s="27"/>
      <c r="D25" s="12"/>
      <c r="E25" s="26"/>
    </row>
    <row r="26" spans="1:5" ht="22.5" customHeight="1" x14ac:dyDescent="0.2">
      <c r="A26" s="10" t="s">
        <v>33</v>
      </c>
      <c r="B26" s="11" t="s">
        <v>32</v>
      </c>
      <c r="C26" s="26">
        <v>1100000</v>
      </c>
      <c r="D26" s="12">
        <f>IF((($D$2&gt;=4)*($D$2&lt;=11))=1,$C$2,0)</f>
        <v>3</v>
      </c>
      <c r="E26" s="26">
        <f t="shared" ref="E26:E37" si="1">C26*D26</f>
        <v>3300000</v>
      </c>
    </row>
    <row r="27" spans="1:5" ht="22.5" customHeight="1" x14ac:dyDescent="0.2">
      <c r="A27" s="10" t="s">
        <v>34</v>
      </c>
      <c r="B27" s="11" t="s">
        <v>32</v>
      </c>
      <c r="C27" s="26">
        <f>250000+200000+200000</f>
        <v>650000</v>
      </c>
      <c r="D27" s="12">
        <v>3</v>
      </c>
      <c r="E27" s="26">
        <f t="shared" si="1"/>
        <v>1950000</v>
      </c>
    </row>
    <row r="28" spans="1:5" ht="22.5" customHeight="1" x14ac:dyDescent="0.3">
      <c r="A28" s="9" t="s">
        <v>35</v>
      </c>
      <c r="B28" s="7"/>
      <c r="C28" s="27"/>
      <c r="D28" s="12"/>
      <c r="E28" s="26"/>
    </row>
    <row r="29" spans="1:5" ht="22.5" customHeight="1" x14ac:dyDescent="0.2">
      <c r="A29" s="13" t="s">
        <v>36</v>
      </c>
      <c r="B29" s="11" t="s">
        <v>11</v>
      </c>
      <c r="C29" s="26">
        <v>200000</v>
      </c>
      <c r="D29" s="12">
        <f>IF((($D$2&gt;=10)*($D$2&lt;=11))=1,2,1)</f>
        <v>2</v>
      </c>
      <c r="E29" s="26">
        <f t="shared" si="1"/>
        <v>400000</v>
      </c>
    </row>
    <row r="30" spans="1:5" ht="22.5" customHeight="1" x14ac:dyDescent="0.3">
      <c r="A30" s="15" t="s">
        <v>38</v>
      </c>
      <c r="B30" s="7"/>
      <c r="C30" s="27"/>
      <c r="D30" s="12"/>
      <c r="E30" s="26">
        <f t="shared" si="1"/>
        <v>0</v>
      </c>
    </row>
    <row r="31" spans="1:5" ht="22.5" customHeight="1" x14ac:dyDescent="0.3">
      <c r="A31" s="9" t="s">
        <v>39</v>
      </c>
      <c r="B31" s="7"/>
      <c r="C31" s="27"/>
      <c r="D31" s="12"/>
      <c r="E31" s="26">
        <f t="shared" si="1"/>
        <v>0</v>
      </c>
    </row>
    <row r="32" spans="1:5" ht="22.5" customHeight="1" x14ac:dyDescent="0.2">
      <c r="A32" s="10" t="s">
        <v>41</v>
      </c>
      <c r="B32" s="11" t="s">
        <v>32</v>
      </c>
      <c r="C32" s="26">
        <v>250000</v>
      </c>
      <c r="D32" s="12">
        <f>IF((($D$2&gt;=4)*($D$2&lt;=11))=1,$C$2,0)</f>
        <v>3</v>
      </c>
      <c r="E32" s="26">
        <f t="shared" si="1"/>
        <v>750000</v>
      </c>
    </row>
    <row r="33" spans="1:5" ht="22.5" customHeight="1" x14ac:dyDescent="0.3">
      <c r="A33" s="15" t="s">
        <v>42</v>
      </c>
      <c r="B33" s="7"/>
      <c r="C33" s="27"/>
      <c r="D33" s="12"/>
      <c r="E33" s="26">
        <f t="shared" si="1"/>
        <v>0</v>
      </c>
    </row>
    <row r="34" spans="1:5" ht="22.5" customHeight="1" x14ac:dyDescent="0.3">
      <c r="A34" s="9" t="s">
        <v>43</v>
      </c>
      <c r="B34" s="7"/>
      <c r="C34" s="27"/>
      <c r="D34" s="12"/>
      <c r="E34" s="26">
        <f t="shared" si="1"/>
        <v>0</v>
      </c>
    </row>
    <row r="35" spans="1:5" ht="22.5" customHeight="1" x14ac:dyDescent="0.2">
      <c r="A35" s="13" t="s">
        <v>44</v>
      </c>
      <c r="B35" s="11" t="s">
        <v>45</v>
      </c>
      <c r="C35" s="26">
        <v>50000</v>
      </c>
      <c r="D35" s="12">
        <f>ROUNDUP(D2*C2*3/24,0)</f>
        <v>4</v>
      </c>
      <c r="E35" s="26">
        <f t="shared" si="1"/>
        <v>200000</v>
      </c>
    </row>
    <row r="36" spans="1:5" ht="22.5" customHeight="1" x14ac:dyDescent="0.2">
      <c r="A36" s="13" t="s">
        <v>46</v>
      </c>
      <c r="B36" s="11" t="s">
        <v>47</v>
      </c>
      <c r="C36" s="26">
        <v>100000</v>
      </c>
      <c r="D36" s="12">
        <v>1</v>
      </c>
      <c r="E36" s="26">
        <f t="shared" si="1"/>
        <v>100000</v>
      </c>
    </row>
    <row r="37" spans="1:5" ht="22.5" customHeight="1" x14ac:dyDescent="0.2">
      <c r="A37" s="13" t="s">
        <v>48</v>
      </c>
      <c r="B37" s="11" t="s">
        <v>20</v>
      </c>
      <c r="C37" s="26">
        <v>60000</v>
      </c>
      <c r="D37" s="12">
        <f>D2</f>
        <v>10</v>
      </c>
      <c r="E37" s="26">
        <f t="shared" si="1"/>
        <v>600000</v>
      </c>
    </row>
    <row r="38" spans="1:5" s="1" customFormat="1" ht="30" customHeight="1" x14ac:dyDescent="0.2">
      <c r="A38" s="17" t="s">
        <v>49</v>
      </c>
      <c r="B38" s="16"/>
      <c r="C38" s="5"/>
      <c r="D38" s="12"/>
      <c r="E38" s="29">
        <f>SUM(E7:E37)</f>
        <v>19737500</v>
      </c>
    </row>
    <row r="39" spans="1:5" ht="36" customHeight="1" x14ac:dyDescent="0.2">
      <c r="A39" s="17" t="s">
        <v>50</v>
      </c>
      <c r="B39" s="8"/>
      <c r="C39" s="8"/>
      <c r="D39" s="8"/>
      <c r="E39" s="29">
        <f>E38/D2</f>
        <v>1973750</v>
      </c>
    </row>
  </sheetData>
  <pageMargins left="0.25" right="0.25" top="0.75" bottom="0.75" header="0.3" footer="0.3"/>
  <pageSetup paperSize="10000" scale="46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28F21-3A12-6E4E-A00F-009F1E94344C}">
  <sheetPr>
    <pageSetUpPr fitToPage="1"/>
  </sheetPr>
  <dimension ref="A1:N41"/>
  <sheetViews>
    <sheetView zoomScale="70" zoomScaleNormal="70" workbookViewId="0">
      <selection activeCell="E3" sqref="E3"/>
    </sheetView>
  </sheetViews>
  <sheetFormatPr defaultColWidth="9" defaultRowHeight="12.75" x14ac:dyDescent="0.2"/>
  <cols>
    <col min="1" max="1" width="93.83203125" customWidth="1"/>
    <col min="2" max="2" width="20.6640625" customWidth="1"/>
    <col min="3" max="3" width="29.1640625" customWidth="1"/>
    <col min="4" max="4" width="21.6640625" customWidth="1"/>
    <col min="5" max="5" width="25.33203125" customWidth="1"/>
    <col min="8" max="8" width="7" bestFit="1" customWidth="1"/>
    <col min="9" max="10" width="20.83203125" bestFit="1" customWidth="1"/>
    <col min="11" max="11" width="18.6640625" bestFit="1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14" ht="25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60</v>
      </c>
    </row>
    <row r="2" spans="1:14" ht="27.75" customHeight="1" x14ac:dyDescent="0.2">
      <c r="A2" s="3" t="s">
        <v>59</v>
      </c>
      <c r="B2" s="3">
        <v>29</v>
      </c>
      <c r="C2" s="3">
        <v>3</v>
      </c>
      <c r="D2" s="30">
        <v>11</v>
      </c>
      <c r="E2" s="52">
        <v>2450000</v>
      </c>
    </row>
    <row r="3" spans="1:14" ht="27.75" customHeight="1" x14ac:dyDescent="0.2">
      <c r="A3" s="4"/>
      <c r="B3" s="4"/>
      <c r="C3" s="4"/>
    </row>
    <row r="4" spans="1:14" ht="35.25" customHeight="1" x14ac:dyDescent="0.2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</row>
    <row r="5" spans="1:14" ht="22.5" customHeight="1" x14ac:dyDescent="0.3">
      <c r="A5" s="6" t="s">
        <v>9</v>
      </c>
      <c r="B5" s="7"/>
      <c r="C5" s="7"/>
      <c r="D5" s="8"/>
      <c r="E5" s="8"/>
    </row>
    <row r="6" spans="1:14" ht="22.5" customHeight="1" x14ac:dyDescent="0.3">
      <c r="A6" s="9" t="s">
        <v>10</v>
      </c>
      <c r="B6" s="7"/>
      <c r="C6" s="7"/>
      <c r="D6" s="8"/>
      <c r="E6" s="8"/>
    </row>
    <row r="7" spans="1:14" ht="22.5" customHeight="1" x14ac:dyDescent="0.2">
      <c r="A7" s="10" t="s">
        <v>12</v>
      </c>
      <c r="B7" s="11" t="s">
        <v>11</v>
      </c>
      <c r="C7" s="26">
        <v>337500</v>
      </c>
      <c r="D7" s="12">
        <v>4</v>
      </c>
      <c r="E7" s="26">
        <f>C7*D7</f>
        <v>1350000</v>
      </c>
    </row>
    <row r="8" spans="1:14" ht="22.5" customHeight="1" x14ac:dyDescent="0.25">
      <c r="A8" s="10" t="s">
        <v>13</v>
      </c>
      <c r="B8" s="11" t="s">
        <v>11</v>
      </c>
      <c r="C8" s="26">
        <v>562500</v>
      </c>
      <c r="D8" s="12">
        <v>1</v>
      </c>
      <c r="E8" s="26">
        <f t="shared" ref="E8:E25" si="0">C8*D8</f>
        <v>562500</v>
      </c>
      <c r="H8" s="19"/>
      <c r="I8" s="20"/>
      <c r="J8" s="20"/>
      <c r="K8" s="21"/>
      <c r="L8" s="21"/>
      <c r="M8" s="21"/>
      <c r="N8" s="21"/>
    </row>
    <row r="9" spans="1:14" ht="22.5" customHeight="1" x14ac:dyDescent="0.3">
      <c r="A9" s="9" t="s">
        <v>14</v>
      </c>
      <c r="B9" s="7"/>
      <c r="C9" s="27"/>
      <c r="D9" s="12"/>
      <c r="E9" s="26"/>
    </row>
    <row r="10" spans="1:14" ht="22.5" customHeight="1" x14ac:dyDescent="0.2">
      <c r="A10" s="10" t="s">
        <v>15</v>
      </c>
      <c r="B10" s="11" t="s">
        <v>11</v>
      </c>
      <c r="C10" s="26">
        <v>750000</v>
      </c>
      <c r="D10" s="12">
        <v>4</v>
      </c>
      <c r="E10" s="26">
        <f t="shared" si="0"/>
        <v>3000000</v>
      </c>
    </row>
    <row r="11" spans="1:14" ht="22.5" customHeight="1" x14ac:dyDescent="0.2">
      <c r="A11" s="10" t="s">
        <v>16</v>
      </c>
      <c r="B11" s="11" t="s">
        <v>11</v>
      </c>
      <c r="C11" s="26">
        <v>950000</v>
      </c>
      <c r="D11" s="12">
        <v>1</v>
      </c>
      <c r="E11" s="26">
        <f t="shared" si="0"/>
        <v>950000</v>
      </c>
    </row>
    <row r="12" spans="1:14" ht="22.5" customHeight="1" x14ac:dyDescent="0.3">
      <c r="A12" s="6" t="s">
        <v>17</v>
      </c>
      <c r="B12" s="7"/>
      <c r="C12" s="27"/>
      <c r="D12" s="12"/>
      <c r="E12" s="26"/>
    </row>
    <row r="13" spans="1:14" ht="22.5" customHeight="1" x14ac:dyDescent="0.3">
      <c r="A13" s="9" t="s">
        <v>18</v>
      </c>
      <c r="B13" s="7"/>
      <c r="C13" s="27"/>
      <c r="D13" s="12"/>
      <c r="E13" s="26"/>
    </row>
    <row r="14" spans="1:14" ht="22.5" customHeight="1" x14ac:dyDescent="0.2">
      <c r="A14" s="10" t="s">
        <v>19</v>
      </c>
      <c r="B14" s="11" t="s">
        <v>20</v>
      </c>
      <c r="C14" s="26">
        <v>75000</v>
      </c>
      <c r="D14" s="12">
        <f>D2</f>
        <v>11</v>
      </c>
      <c r="E14" s="26">
        <f t="shared" si="0"/>
        <v>825000</v>
      </c>
    </row>
    <row r="15" spans="1:14" ht="22.5" customHeight="1" x14ac:dyDescent="0.2">
      <c r="A15" s="13" t="s">
        <v>58</v>
      </c>
      <c r="B15" s="11" t="s">
        <v>20</v>
      </c>
      <c r="C15" s="26">
        <v>35000</v>
      </c>
      <c r="D15" s="12">
        <f>D2</f>
        <v>11</v>
      </c>
      <c r="E15" s="26">
        <f t="shared" si="0"/>
        <v>385000</v>
      </c>
    </row>
    <row r="16" spans="1:14" ht="22.5" customHeight="1" x14ac:dyDescent="0.2">
      <c r="A16" s="10" t="s">
        <v>21</v>
      </c>
      <c r="B16" s="11" t="s">
        <v>20</v>
      </c>
      <c r="C16" s="26">
        <v>25000</v>
      </c>
      <c r="D16" s="12">
        <f>D2</f>
        <v>11</v>
      </c>
      <c r="E16" s="26">
        <f t="shared" si="0"/>
        <v>275000</v>
      </c>
    </row>
    <row r="17" spans="1:5" ht="22.5" customHeight="1" x14ac:dyDescent="0.2">
      <c r="A17" s="10" t="s">
        <v>22</v>
      </c>
      <c r="B17" s="11" t="s">
        <v>11</v>
      </c>
      <c r="C17" s="26">
        <v>250000</v>
      </c>
      <c r="D17" s="12">
        <f>IF($D$2=4,0,1)</f>
        <v>1</v>
      </c>
      <c r="E17" s="26">
        <f t="shared" si="0"/>
        <v>250000</v>
      </c>
    </row>
    <row r="18" spans="1:5" ht="22.5" customHeight="1" x14ac:dyDescent="0.2">
      <c r="A18" s="13" t="s">
        <v>56</v>
      </c>
      <c r="B18" s="11" t="s">
        <v>20</v>
      </c>
      <c r="C18" s="26">
        <v>65000</v>
      </c>
      <c r="D18" s="12">
        <f>D2</f>
        <v>11</v>
      </c>
      <c r="E18" s="26">
        <f t="shared" si="0"/>
        <v>715000</v>
      </c>
    </row>
    <row r="19" spans="1:5" ht="22.5" customHeight="1" x14ac:dyDescent="0.2">
      <c r="A19" s="13" t="s">
        <v>57</v>
      </c>
      <c r="B19" s="11" t="s">
        <v>20</v>
      </c>
      <c r="C19" s="26">
        <v>65000</v>
      </c>
      <c r="D19" s="12">
        <f>D2</f>
        <v>11</v>
      </c>
      <c r="E19" s="26">
        <f t="shared" si="0"/>
        <v>715000</v>
      </c>
    </row>
    <row r="20" spans="1:5" ht="22.5" customHeight="1" x14ac:dyDescent="0.3">
      <c r="A20" s="9" t="s">
        <v>23</v>
      </c>
      <c r="B20" s="7"/>
      <c r="C20" s="28"/>
      <c r="D20" s="12"/>
      <c r="E20" s="26"/>
    </row>
    <row r="21" spans="1:5" ht="22.5" customHeight="1" x14ac:dyDescent="0.2">
      <c r="A21" s="10" t="s">
        <v>24</v>
      </c>
      <c r="B21" s="11" t="s">
        <v>20</v>
      </c>
      <c r="C21" s="26">
        <v>160000</v>
      </c>
      <c r="D21" s="12">
        <f>D2</f>
        <v>11</v>
      </c>
      <c r="E21" s="26">
        <f t="shared" si="0"/>
        <v>1760000</v>
      </c>
    </row>
    <row r="22" spans="1:5" ht="22.5" customHeight="1" x14ac:dyDescent="0.2">
      <c r="A22" s="13" t="s">
        <v>25</v>
      </c>
      <c r="B22" s="11" t="s">
        <v>20</v>
      </c>
      <c r="C22" s="26">
        <v>500000</v>
      </c>
      <c r="D22" s="12">
        <f>ROUNDUP(D2/4,0)</f>
        <v>3</v>
      </c>
      <c r="E22" s="26">
        <f t="shared" si="0"/>
        <v>1500000</v>
      </c>
    </row>
    <row r="23" spans="1:5" ht="22.5" customHeight="1" x14ac:dyDescent="0.3">
      <c r="A23" s="14" t="s">
        <v>26</v>
      </c>
      <c r="B23" s="7"/>
      <c r="C23" s="28"/>
      <c r="D23" s="12"/>
      <c r="E23" s="26"/>
    </row>
    <row r="24" spans="1:5" ht="22.5" customHeight="1" x14ac:dyDescent="0.2">
      <c r="A24" s="13" t="s">
        <v>27</v>
      </c>
      <c r="B24" s="11" t="s">
        <v>20</v>
      </c>
      <c r="C24" s="26">
        <v>90000</v>
      </c>
      <c r="D24" s="12">
        <f>D2</f>
        <v>11</v>
      </c>
      <c r="E24" s="26">
        <f t="shared" si="0"/>
        <v>990000</v>
      </c>
    </row>
    <row r="25" spans="1:5" ht="22.5" customHeight="1" x14ac:dyDescent="0.2">
      <c r="A25" s="10" t="s">
        <v>28</v>
      </c>
      <c r="B25" s="11" t="s">
        <v>11</v>
      </c>
      <c r="C25" s="26">
        <v>100000</v>
      </c>
      <c r="D25" s="12">
        <v>1</v>
      </c>
      <c r="E25" s="26">
        <f t="shared" si="0"/>
        <v>100000</v>
      </c>
    </row>
    <row r="26" spans="1:5" ht="22.5" customHeight="1" x14ac:dyDescent="0.3">
      <c r="A26" s="15" t="s">
        <v>29</v>
      </c>
      <c r="B26" s="7"/>
      <c r="C26" s="27"/>
      <c r="D26" s="12"/>
      <c r="E26" s="26"/>
    </row>
    <row r="27" spans="1:5" ht="22.5" customHeight="1" x14ac:dyDescent="0.3">
      <c r="A27" s="9" t="s">
        <v>30</v>
      </c>
      <c r="B27" s="7"/>
      <c r="C27" s="27"/>
      <c r="D27" s="12"/>
      <c r="E27" s="26"/>
    </row>
    <row r="28" spans="1:5" ht="22.5" customHeight="1" x14ac:dyDescent="0.2">
      <c r="A28" s="10" t="s">
        <v>33</v>
      </c>
      <c r="B28" s="11" t="s">
        <v>32</v>
      </c>
      <c r="C28" s="26">
        <v>1100000</v>
      </c>
      <c r="D28" s="12">
        <f>IF((($D$2&gt;=4)*($D$2&lt;=11))=1,$C$2,0)</f>
        <v>3</v>
      </c>
      <c r="E28" s="26">
        <f t="shared" ref="E28:E39" si="1">C28*D28</f>
        <v>3300000</v>
      </c>
    </row>
    <row r="29" spans="1:5" ht="22.5" customHeight="1" x14ac:dyDescent="0.2">
      <c r="A29" s="10" t="s">
        <v>34</v>
      </c>
      <c r="B29" s="11" t="s">
        <v>32</v>
      </c>
      <c r="C29" s="26">
        <f>250000+200000+200000</f>
        <v>650000</v>
      </c>
      <c r="D29" s="12">
        <v>3</v>
      </c>
      <c r="E29" s="26">
        <f t="shared" si="1"/>
        <v>1950000</v>
      </c>
    </row>
    <row r="30" spans="1:5" ht="22.5" customHeight="1" x14ac:dyDescent="0.3">
      <c r="A30" s="9" t="s">
        <v>35</v>
      </c>
      <c r="B30" s="7"/>
      <c r="C30" s="27"/>
      <c r="D30" s="12"/>
      <c r="E30" s="26"/>
    </row>
    <row r="31" spans="1:5" ht="22.5" customHeight="1" x14ac:dyDescent="0.2">
      <c r="A31" s="13" t="s">
        <v>36</v>
      </c>
      <c r="B31" s="11" t="s">
        <v>11</v>
      </c>
      <c r="C31" s="26">
        <v>200000</v>
      </c>
      <c r="D31" s="12">
        <f>IF((($D$2&gt;=10)*($D$2&lt;=11))=1,2,1)</f>
        <v>2</v>
      </c>
      <c r="E31" s="26">
        <f t="shared" si="1"/>
        <v>400000</v>
      </c>
    </row>
    <row r="32" spans="1:5" ht="22.5" customHeight="1" x14ac:dyDescent="0.3">
      <c r="A32" s="15" t="s">
        <v>38</v>
      </c>
      <c r="B32" s="7"/>
      <c r="C32" s="27"/>
      <c r="D32" s="12"/>
      <c r="E32" s="26">
        <f t="shared" si="1"/>
        <v>0</v>
      </c>
    </row>
    <row r="33" spans="1:5" ht="22.5" customHeight="1" x14ac:dyDescent="0.3">
      <c r="A33" s="9" t="s">
        <v>39</v>
      </c>
      <c r="B33" s="7"/>
      <c r="C33" s="27"/>
      <c r="D33" s="12"/>
      <c r="E33" s="26">
        <f t="shared" si="1"/>
        <v>0</v>
      </c>
    </row>
    <row r="34" spans="1:5" ht="22.5" customHeight="1" x14ac:dyDescent="0.2">
      <c r="A34" s="10" t="s">
        <v>41</v>
      </c>
      <c r="B34" s="11" t="s">
        <v>32</v>
      </c>
      <c r="C34" s="26">
        <v>250000</v>
      </c>
      <c r="D34" s="12">
        <f>IF((($D$2&gt;=4)*($D$2&lt;=11))=1,$C$2,0)</f>
        <v>3</v>
      </c>
      <c r="E34" s="26">
        <f t="shared" si="1"/>
        <v>750000</v>
      </c>
    </row>
    <row r="35" spans="1:5" ht="22.5" customHeight="1" x14ac:dyDescent="0.3">
      <c r="A35" s="15" t="s">
        <v>42</v>
      </c>
      <c r="B35" s="7"/>
      <c r="C35" s="27"/>
      <c r="D35" s="12"/>
      <c r="E35" s="26">
        <f t="shared" si="1"/>
        <v>0</v>
      </c>
    </row>
    <row r="36" spans="1:5" ht="22.5" customHeight="1" x14ac:dyDescent="0.3">
      <c r="A36" s="9" t="s">
        <v>43</v>
      </c>
      <c r="B36" s="7"/>
      <c r="C36" s="27"/>
      <c r="D36" s="12"/>
      <c r="E36" s="26">
        <f t="shared" si="1"/>
        <v>0</v>
      </c>
    </row>
    <row r="37" spans="1:5" ht="22.5" customHeight="1" x14ac:dyDescent="0.2">
      <c r="A37" s="13" t="s">
        <v>44</v>
      </c>
      <c r="B37" s="11" t="s">
        <v>45</v>
      </c>
      <c r="C37" s="26">
        <v>50000</v>
      </c>
      <c r="D37" s="12">
        <f>ROUNDUP(D2*C2*3/24,0)</f>
        <v>5</v>
      </c>
      <c r="E37" s="26">
        <f t="shared" si="1"/>
        <v>250000</v>
      </c>
    </row>
    <row r="38" spans="1:5" ht="22.5" customHeight="1" x14ac:dyDescent="0.2">
      <c r="A38" s="13" t="s">
        <v>46</v>
      </c>
      <c r="B38" s="11" t="s">
        <v>47</v>
      </c>
      <c r="C38" s="26">
        <v>100000</v>
      </c>
      <c r="D38" s="12">
        <v>1</v>
      </c>
      <c r="E38" s="26">
        <f t="shared" si="1"/>
        <v>100000</v>
      </c>
    </row>
    <row r="39" spans="1:5" ht="22.5" customHeight="1" x14ac:dyDescent="0.2">
      <c r="A39" s="13" t="s">
        <v>48</v>
      </c>
      <c r="B39" s="11" t="s">
        <v>20</v>
      </c>
      <c r="C39" s="26">
        <v>60000</v>
      </c>
      <c r="D39" s="12">
        <f>D2</f>
        <v>11</v>
      </c>
      <c r="E39" s="26">
        <f t="shared" si="1"/>
        <v>660000</v>
      </c>
    </row>
    <row r="40" spans="1:5" s="1" customFormat="1" ht="30" customHeight="1" x14ac:dyDescent="0.2">
      <c r="A40" s="17" t="s">
        <v>49</v>
      </c>
      <c r="B40" s="16"/>
      <c r="C40" s="5"/>
      <c r="D40" s="12"/>
      <c r="E40" s="29">
        <f>SUM(E7:E39)</f>
        <v>20787500</v>
      </c>
    </row>
    <row r="41" spans="1:5" ht="36" customHeight="1" x14ac:dyDescent="0.2">
      <c r="A41" s="17" t="s">
        <v>50</v>
      </c>
      <c r="B41" s="8"/>
      <c r="C41" s="8"/>
      <c r="D41" s="8"/>
      <c r="E41" s="29">
        <f>E40/D2</f>
        <v>1889772.7272727273</v>
      </c>
    </row>
  </sheetData>
  <pageMargins left="0.25" right="0.25" top="0.75" bottom="0.75" header="0.3" footer="0.3"/>
  <pageSetup paperSize="10000" scale="56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1 pax</vt:lpstr>
      <vt:lpstr>2 Pax</vt:lpstr>
      <vt:lpstr>3 Pax</vt:lpstr>
      <vt:lpstr>4 Pax</vt:lpstr>
      <vt:lpstr>5 Pax</vt:lpstr>
      <vt:lpstr>6 Pax</vt:lpstr>
      <vt:lpstr>7 Pax</vt:lpstr>
      <vt:lpstr>8 Pax</vt:lpstr>
      <vt:lpstr>9 Pax</vt:lpstr>
      <vt:lpstr>10 Pax</vt:lpstr>
      <vt:lpstr>11 Pax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Java Volcano Rendezvous</cp:lastModifiedBy>
  <cp:revision/>
  <cp:lastPrinted>2025-10-31T08:03:41Z</cp:lastPrinted>
  <dcterms:created xsi:type="dcterms:W3CDTF">2023-11-29T03:56:29Z</dcterms:created>
  <dcterms:modified xsi:type="dcterms:W3CDTF">2025-10-31T08:03:41Z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2023-10-12T00:00:00Z</vt:filetime>
  </property>
  <property fmtid="{D5CDD505-2E9C-101B-9397-08002B2CF9AE}" pid="3" name="Creator">
    <vt:lpwstr>Microsoft® Excel® 2021</vt:lpwstr>
  </property>
  <property fmtid="{D5CDD505-2E9C-101B-9397-08002B2CF9AE}" pid="4" name="LastSaved">
    <vt:filetime>2023-11-29T00:00:00Z</vt:filetime>
  </property>
  <property fmtid="{D5CDD505-2E9C-101B-9397-08002B2CF9AE}" pid="5" name="Producer">
    <vt:lpwstr>Microsoft® Excel® 2021</vt:lpwstr>
  </property>
</Properties>
</file>