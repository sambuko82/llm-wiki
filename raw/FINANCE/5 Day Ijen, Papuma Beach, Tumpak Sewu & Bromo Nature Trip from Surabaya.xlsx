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616" documentId="8_{49DE2DE6-D929-4DA0-BB4F-4F6EC9A2F1B6}" xr6:coauthVersionLast="47" xr6:coauthVersionMax="47" xr10:uidLastSave="{A1628EBA-7441-49EB-8383-A6ED766B928D}"/>
  <bookViews>
    <workbookView xWindow="-105" yWindow="0" windowWidth="19410" windowHeight="15585" activeTab="2" xr2:uid="{00000000-000D-0000-FFFF-FFFF00000000}"/>
  </bookViews>
  <sheets>
    <sheet name="Calculation" sheetId="2" r:id="rId1"/>
    <sheet name="Summary" sheetId="3" r:id="rId2"/>
    <sheet name="1 Pax" sheetId="4" r:id="rId3"/>
    <sheet name="2 Pax" sheetId="5" r:id="rId4"/>
    <sheet name="3 Pax" sheetId="6" r:id="rId5"/>
    <sheet name="4 Pax" sheetId="7" r:id="rId6"/>
    <sheet name="5 Pax" sheetId="8" r:id="rId7"/>
    <sheet name="6 Pax" sheetId="9" r:id="rId8"/>
    <sheet name="7 Pax" sheetId="10" r:id="rId9"/>
    <sheet name="8 Pax" sheetId="11" r:id="rId10"/>
    <sheet name="9 Pax" sheetId="12" r:id="rId11"/>
    <sheet name="10 Pax" sheetId="13" r:id="rId12"/>
    <sheet name="11 Pax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E80" i="14"/>
  <c r="E79" i="14"/>
  <c r="E78" i="14"/>
  <c r="E77" i="14"/>
  <c r="E76" i="14"/>
  <c r="D75" i="14"/>
  <c r="E75" i="14" s="1"/>
  <c r="E74" i="14"/>
  <c r="D73" i="14"/>
  <c r="E73" i="14" s="1"/>
  <c r="E70" i="14"/>
  <c r="D69" i="14"/>
  <c r="E69" i="14" s="1"/>
  <c r="D68" i="14"/>
  <c r="E68" i="14" s="1"/>
  <c r="E65" i="14"/>
  <c r="E64" i="14"/>
  <c r="D63" i="14"/>
  <c r="E63" i="14" s="1"/>
  <c r="E62" i="14"/>
  <c r="E61" i="14"/>
  <c r="D60" i="14"/>
  <c r="E60" i="14" s="1"/>
  <c r="C58" i="14"/>
  <c r="E58" i="14" s="1"/>
  <c r="E57" i="14"/>
  <c r="D56" i="14"/>
  <c r="E56" i="14" s="1"/>
  <c r="D55" i="14"/>
  <c r="E55" i="14" s="1"/>
  <c r="D54" i="14"/>
  <c r="E54" i="14" s="1"/>
  <c r="D51" i="14"/>
  <c r="E51" i="14" s="1"/>
  <c r="D50" i="14"/>
  <c r="E50" i="14" s="1"/>
  <c r="E49" i="14"/>
  <c r="D48" i="14"/>
  <c r="E48" i="14" s="1"/>
  <c r="E46" i="14"/>
  <c r="E45" i="14"/>
  <c r="D43" i="14"/>
  <c r="E43" i="14" s="1"/>
  <c r="D42" i="14"/>
  <c r="E42" i="14" s="1"/>
  <c r="E40" i="14"/>
  <c r="E39" i="14"/>
  <c r="E38" i="14"/>
  <c r="D37" i="14"/>
  <c r="E37" i="14" s="1"/>
  <c r="D36" i="14"/>
  <c r="E36" i="14" s="1"/>
  <c r="E35" i="14"/>
  <c r="D34" i="14"/>
  <c r="E34" i="14" s="1"/>
  <c r="E33" i="14"/>
  <c r="D32" i="14"/>
  <c r="E32" i="14" s="1"/>
  <c r="E29" i="14"/>
  <c r="E28" i="14"/>
  <c r="E27" i="14"/>
  <c r="E25" i="14"/>
  <c r="E24" i="14"/>
  <c r="E23" i="14"/>
  <c r="E22" i="14"/>
  <c r="E21" i="14"/>
  <c r="E19" i="14"/>
  <c r="E18" i="14"/>
  <c r="E17" i="14"/>
  <c r="E15" i="14"/>
  <c r="E14" i="14"/>
  <c r="E13" i="14"/>
  <c r="E11" i="14"/>
  <c r="E10" i="14"/>
  <c r="E9" i="14"/>
  <c r="E8" i="14"/>
  <c r="E7" i="14"/>
  <c r="B11" i="3"/>
  <c r="E80" i="13"/>
  <c r="E79" i="13"/>
  <c r="E78" i="13"/>
  <c r="E77" i="13"/>
  <c r="E76" i="13"/>
  <c r="D75" i="13"/>
  <c r="E75" i="13" s="1"/>
  <c r="E74" i="13"/>
  <c r="D73" i="13"/>
  <c r="E73" i="13" s="1"/>
  <c r="E70" i="13"/>
  <c r="D69" i="13"/>
  <c r="E69" i="13" s="1"/>
  <c r="D68" i="13"/>
  <c r="E68" i="13" s="1"/>
  <c r="E65" i="13"/>
  <c r="E64" i="13"/>
  <c r="D63" i="13"/>
  <c r="E63" i="13" s="1"/>
  <c r="E62" i="13"/>
  <c r="E61" i="13"/>
  <c r="D60" i="13"/>
  <c r="E60" i="13" s="1"/>
  <c r="E58" i="13"/>
  <c r="C58" i="13"/>
  <c r="E57" i="13"/>
  <c r="D56" i="13"/>
  <c r="E56" i="13" s="1"/>
  <c r="D55" i="13"/>
  <c r="E55" i="13" s="1"/>
  <c r="D54" i="13"/>
  <c r="E54" i="13" s="1"/>
  <c r="D51" i="13"/>
  <c r="E51" i="13" s="1"/>
  <c r="D50" i="13"/>
  <c r="E50" i="13" s="1"/>
  <c r="E49" i="13"/>
  <c r="D48" i="13"/>
  <c r="E48" i="13" s="1"/>
  <c r="E46" i="13"/>
  <c r="E45" i="13"/>
  <c r="D43" i="13"/>
  <c r="E43" i="13" s="1"/>
  <c r="D42" i="13"/>
  <c r="E42" i="13" s="1"/>
  <c r="E40" i="13"/>
  <c r="E39" i="13"/>
  <c r="E38" i="13"/>
  <c r="D37" i="13"/>
  <c r="E37" i="13" s="1"/>
  <c r="D36" i="13"/>
  <c r="E36" i="13" s="1"/>
  <c r="E35" i="13"/>
  <c r="D34" i="13"/>
  <c r="E34" i="13" s="1"/>
  <c r="E33" i="13"/>
  <c r="D32" i="13"/>
  <c r="E32" i="13" s="1"/>
  <c r="E29" i="13"/>
  <c r="E28" i="13"/>
  <c r="D27" i="13"/>
  <c r="E27" i="13" s="1"/>
  <c r="E25" i="13"/>
  <c r="E24" i="13"/>
  <c r="E23" i="13"/>
  <c r="E22" i="13"/>
  <c r="D21" i="13"/>
  <c r="E21" i="13" s="1"/>
  <c r="E19" i="13"/>
  <c r="E18" i="13"/>
  <c r="E17" i="13"/>
  <c r="E15" i="13"/>
  <c r="E14" i="13"/>
  <c r="D13" i="13"/>
  <c r="E13" i="13" s="1"/>
  <c r="E11" i="13"/>
  <c r="E10" i="13"/>
  <c r="E9" i="13"/>
  <c r="E8" i="13"/>
  <c r="D7" i="13"/>
  <c r="E7" i="13" s="1"/>
  <c r="B10" i="3"/>
  <c r="C10" i="3" s="1"/>
  <c r="E80" i="12"/>
  <c r="E79" i="12"/>
  <c r="E78" i="12"/>
  <c r="E77" i="12"/>
  <c r="E76" i="12"/>
  <c r="D75" i="12"/>
  <c r="E75" i="12" s="1"/>
  <c r="E74" i="12"/>
  <c r="D73" i="12"/>
  <c r="E73" i="12" s="1"/>
  <c r="E70" i="12"/>
  <c r="D69" i="12"/>
  <c r="E69" i="12" s="1"/>
  <c r="D68" i="12"/>
  <c r="E68" i="12" s="1"/>
  <c r="E65" i="12"/>
  <c r="E64" i="12"/>
  <c r="D63" i="12"/>
  <c r="E63" i="12" s="1"/>
  <c r="E62" i="12"/>
  <c r="E61" i="12"/>
  <c r="D60" i="12"/>
  <c r="E60" i="12" s="1"/>
  <c r="D58" i="12"/>
  <c r="C58" i="12"/>
  <c r="E58" i="12" s="1"/>
  <c r="E57" i="12"/>
  <c r="D56" i="12"/>
  <c r="E56" i="12" s="1"/>
  <c r="E55" i="12"/>
  <c r="D55" i="12"/>
  <c r="D54" i="12"/>
  <c r="E54" i="12" s="1"/>
  <c r="D51" i="12"/>
  <c r="E51" i="12" s="1"/>
  <c r="D50" i="12"/>
  <c r="E50" i="12" s="1"/>
  <c r="E49" i="12"/>
  <c r="D48" i="12"/>
  <c r="E48" i="12" s="1"/>
  <c r="E46" i="12"/>
  <c r="E45" i="12"/>
  <c r="D43" i="12"/>
  <c r="E43" i="12" s="1"/>
  <c r="D42" i="12"/>
  <c r="E42" i="12" s="1"/>
  <c r="E40" i="12"/>
  <c r="E39" i="12"/>
  <c r="E38" i="12"/>
  <c r="D37" i="12"/>
  <c r="E37" i="12" s="1"/>
  <c r="D36" i="12"/>
  <c r="E36" i="12" s="1"/>
  <c r="E35" i="12"/>
  <c r="D34" i="12"/>
  <c r="E34" i="12" s="1"/>
  <c r="E33" i="12"/>
  <c r="D32" i="12"/>
  <c r="E32" i="12" s="1"/>
  <c r="E29" i="12"/>
  <c r="E28" i="12"/>
  <c r="E27" i="12"/>
  <c r="E25" i="12"/>
  <c r="E24" i="12"/>
  <c r="E23" i="12"/>
  <c r="E22" i="12"/>
  <c r="E21" i="12"/>
  <c r="E19" i="12"/>
  <c r="E18" i="12"/>
  <c r="E17" i="12"/>
  <c r="E15" i="12"/>
  <c r="E14" i="12"/>
  <c r="E13" i="12"/>
  <c r="E11" i="12"/>
  <c r="E10" i="12"/>
  <c r="E9" i="12"/>
  <c r="E8" i="12"/>
  <c r="E7" i="12"/>
  <c r="B9" i="3"/>
  <c r="E80" i="11"/>
  <c r="E79" i="11"/>
  <c r="E78" i="11"/>
  <c r="E77" i="11"/>
  <c r="E76" i="11"/>
  <c r="D75" i="11"/>
  <c r="E75" i="11" s="1"/>
  <c r="E74" i="11"/>
  <c r="D73" i="11"/>
  <c r="E73" i="11" s="1"/>
  <c r="E70" i="11"/>
  <c r="D69" i="11"/>
  <c r="E69" i="11" s="1"/>
  <c r="D68" i="11"/>
  <c r="E68" i="11" s="1"/>
  <c r="E65" i="11"/>
  <c r="E64" i="11"/>
  <c r="D63" i="11"/>
  <c r="E63" i="11" s="1"/>
  <c r="E62" i="11"/>
  <c r="E61" i="11"/>
  <c r="D60" i="11"/>
  <c r="E60" i="11" s="1"/>
  <c r="D58" i="11"/>
  <c r="C58" i="11"/>
  <c r="E58" i="11" s="1"/>
  <c r="E57" i="11"/>
  <c r="D56" i="11"/>
  <c r="E56" i="11" s="1"/>
  <c r="E55" i="11"/>
  <c r="D55" i="11"/>
  <c r="D54" i="11"/>
  <c r="E54" i="11" s="1"/>
  <c r="D51" i="11"/>
  <c r="E51" i="11" s="1"/>
  <c r="D50" i="11"/>
  <c r="E50" i="11" s="1"/>
  <c r="E49" i="11"/>
  <c r="D48" i="11"/>
  <c r="E48" i="11" s="1"/>
  <c r="E46" i="11"/>
  <c r="E45" i="11"/>
  <c r="D43" i="11"/>
  <c r="E43" i="11" s="1"/>
  <c r="D42" i="11"/>
  <c r="E42" i="11" s="1"/>
  <c r="E40" i="11"/>
  <c r="E39" i="11"/>
  <c r="E38" i="11"/>
  <c r="D37" i="11"/>
  <c r="E37" i="11" s="1"/>
  <c r="D36" i="11"/>
  <c r="E36" i="11" s="1"/>
  <c r="E35" i="11"/>
  <c r="D34" i="11"/>
  <c r="E34" i="11" s="1"/>
  <c r="E33" i="11"/>
  <c r="D32" i="11"/>
  <c r="E32" i="11" s="1"/>
  <c r="E29" i="11"/>
  <c r="E28" i="11"/>
  <c r="D27" i="11"/>
  <c r="E27" i="11" s="1"/>
  <c r="E25" i="11"/>
  <c r="E24" i="11"/>
  <c r="E23" i="11"/>
  <c r="E22" i="11"/>
  <c r="D21" i="11"/>
  <c r="E21" i="11" s="1"/>
  <c r="E19" i="11"/>
  <c r="E18" i="11"/>
  <c r="E17" i="11"/>
  <c r="E15" i="11"/>
  <c r="E14" i="11"/>
  <c r="D13" i="11"/>
  <c r="E13" i="11" s="1"/>
  <c r="E11" i="11"/>
  <c r="E10" i="11"/>
  <c r="E9" i="11"/>
  <c r="E8" i="11"/>
  <c r="D7" i="11"/>
  <c r="E7" i="11" s="1"/>
  <c r="B8" i="3"/>
  <c r="E80" i="10"/>
  <c r="E79" i="10"/>
  <c r="E78" i="10"/>
  <c r="E77" i="10"/>
  <c r="E76" i="10"/>
  <c r="D75" i="10"/>
  <c r="E75" i="10" s="1"/>
  <c r="E74" i="10"/>
  <c r="D73" i="10"/>
  <c r="E73" i="10" s="1"/>
  <c r="E70" i="10"/>
  <c r="D69" i="10"/>
  <c r="E69" i="10" s="1"/>
  <c r="D68" i="10"/>
  <c r="E68" i="10" s="1"/>
  <c r="E65" i="10"/>
  <c r="E64" i="10"/>
  <c r="D63" i="10"/>
  <c r="E63" i="10" s="1"/>
  <c r="E62" i="10"/>
  <c r="E61" i="10"/>
  <c r="D60" i="10"/>
  <c r="E60" i="10" s="1"/>
  <c r="D58" i="10"/>
  <c r="E58" i="10" s="1"/>
  <c r="C58" i="10"/>
  <c r="E57" i="10"/>
  <c r="D56" i="10"/>
  <c r="E56" i="10" s="1"/>
  <c r="D55" i="10"/>
  <c r="E55" i="10" s="1"/>
  <c r="D54" i="10"/>
  <c r="E54" i="10" s="1"/>
  <c r="D51" i="10"/>
  <c r="E51" i="10" s="1"/>
  <c r="D50" i="10"/>
  <c r="E50" i="10" s="1"/>
  <c r="E49" i="10"/>
  <c r="D48" i="10"/>
  <c r="E48" i="10" s="1"/>
  <c r="E46" i="10"/>
  <c r="E45" i="10"/>
  <c r="D43" i="10"/>
  <c r="E43" i="10" s="1"/>
  <c r="D42" i="10"/>
  <c r="E42" i="10" s="1"/>
  <c r="E40" i="10"/>
  <c r="E39" i="10"/>
  <c r="E38" i="10"/>
  <c r="D37" i="10"/>
  <c r="E37" i="10" s="1"/>
  <c r="D36" i="10"/>
  <c r="E36" i="10" s="1"/>
  <c r="E35" i="10"/>
  <c r="D34" i="10"/>
  <c r="E34" i="10" s="1"/>
  <c r="E33" i="10"/>
  <c r="D32" i="10"/>
  <c r="E32" i="10" s="1"/>
  <c r="E29" i="10"/>
  <c r="E28" i="10"/>
  <c r="E27" i="10"/>
  <c r="E25" i="10"/>
  <c r="E24" i="10"/>
  <c r="E23" i="10"/>
  <c r="E22" i="10"/>
  <c r="E21" i="10"/>
  <c r="E19" i="10"/>
  <c r="E18" i="10"/>
  <c r="E17" i="10"/>
  <c r="E15" i="10"/>
  <c r="E14" i="10"/>
  <c r="E13" i="10"/>
  <c r="E11" i="10"/>
  <c r="E10" i="10"/>
  <c r="E9" i="10"/>
  <c r="E8" i="10"/>
  <c r="E7" i="10"/>
  <c r="B7" i="3"/>
  <c r="C7" i="3" s="1"/>
  <c r="E80" i="9"/>
  <c r="E79" i="9"/>
  <c r="E78" i="9"/>
  <c r="E77" i="9"/>
  <c r="E76" i="9"/>
  <c r="D75" i="9"/>
  <c r="E75" i="9" s="1"/>
  <c r="E74" i="9"/>
  <c r="D73" i="9"/>
  <c r="E73" i="9" s="1"/>
  <c r="E70" i="9"/>
  <c r="D69" i="9"/>
  <c r="E69" i="9" s="1"/>
  <c r="D68" i="9"/>
  <c r="E68" i="9" s="1"/>
  <c r="E65" i="9"/>
  <c r="E64" i="9"/>
  <c r="D63" i="9"/>
  <c r="E63" i="9" s="1"/>
  <c r="E62" i="9"/>
  <c r="E61" i="9"/>
  <c r="D60" i="9"/>
  <c r="E60" i="9" s="1"/>
  <c r="D58" i="9"/>
  <c r="E58" i="9" s="1"/>
  <c r="C58" i="9"/>
  <c r="E57" i="9"/>
  <c r="D56" i="9"/>
  <c r="E56" i="9" s="1"/>
  <c r="D55" i="9"/>
  <c r="E55" i="9" s="1"/>
  <c r="D54" i="9"/>
  <c r="E54" i="9" s="1"/>
  <c r="D51" i="9"/>
  <c r="E51" i="9" s="1"/>
  <c r="D50" i="9"/>
  <c r="E50" i="9" s="1"/>
  <c r="E49" i="9"/>
  <c r="D48" i="9"/>
  <c r="E48" i="9" s="1"/>
  <c r="E46" i="9"/>
  <c r="E45" i="9"/>
  <c r="D43" i="9"/>
  <c r="E43" i="9" s="1"/>
  <c r="D42" i="9"/>
  <c r="E42" i="9" s="1"/>
  <c r="E40" i="9"/>
  <c r="E39" i="9"/>
  <c r="E38" i="9"/>
  <c r="D37" i="9"/>
  <c r="E37" i="9" s="1"/>
  <c r="D36" i="9"/>
  <c r="E36" i="9" s="1"/>
  <c r="E35" i="9"/>
  <c r="D34" i="9"/>
  <c r="E34" i="9" s="1"/>
  <c r="E33" i="9"/>
  <c r="D32" i="9"/>
  <c r="E32" i="9" s="1"/>
  <c r="E29" i="9"/>
  <c r="E28" i="9"/>
  <c r="D27" i="9"/>
  <c r="E27" i="9" s="1"/>
  <c r="E25" i="9"/>
  <c r="E24" i="9"/>
  <c r="E23" i="9"/>
  <c r="E22" i="9"/>
  <c r="D21" i="9"/>
  <c r="E21" i="9" s="1"/>
  <c r="E19" i="9"/>
  <c r="E18" i="9"/>
  <c r="E17" i="9"/>
  <c r="E15" i="9"/>
  <c r="E14" i="9"/>
  <c r="D13" i="9"/>
  <c r="E13" i="9" s="1"/>
  <c r="E11" i="9"/>
  <c r="E10" i="9"/>
  <c r="E9" i="9"/>
  <c r="E8" i="9"/>
  <c r="D7" i="9"/>
  <c r="E7" i="9" s="1"/>
  <c r="B6" i="3"/>
  <c r="C6" i="3" s="1"/>
  <c r="D72" i="5"/>
  <c r="D73" i="2"/>
  <c r="D73" i="8"/>
  <c r="E73" i="8" s="1"/>
  <c r="E80" i="8"/>
  <c r="E79" i="8"/>
  <c r="E78" i="8"/>
  <c r="E77" i="8"/>
  <c r="E76" i="8"/>
  <c r="D75" i="8"/>
  <c r="E75" i="8" s="1"/>
  <c r="E74" i="8"/>
  <c r="E70" i="8"/>
  <c r="D69" i="8"/>
  <c r="E69" i="8" s="1"/>
  <c r="D68" i="8"/>
  <c r="E68" i="8" s="1"/>
  <c r="E65" i="8"/>
  <c r="E64" i="8"/>
  <c r="D63" i="8"/>
  <c r="E63" i="8" s="1"/>
  <c r="E62" i="8"/>
  <c r="E61" i="8"/>
  <c r="D60" i="8"/>
  <c r="E60" i="8" s="1"/>
  <c r="D58" i="8"/>
  <c r="E58" i="8" s="1"/>
  <c r="C58" i="8"/>
  <c r="E57" i="8"/>
  <c r="D56" i="8"/>
  <c r="E56" i="8" s="1"/>
  <c r="D55" i="8"/>
  <c r="E55" i="8" s="1"/>
  <c r="E54" i="8"/>
  <c r="D54" i="8"/>
  <c r="D51" i="8"/>
  <c r="E51" i="8" s="1"/>
  <c r="D50" i="8"/>
  <c r="E50" i="8" s="1"/>
  <c r="E49" i="8"/>
  <c r="D48" i="8"/>
  <c r="E48" i="8" s="1"/>
  <c r="E46" i="8"/>
  <c r="E45" i="8"/>
  <c r="D43" i="8"/>
  <c r="E43" i="8" s="1"/>
  <c r="D42" i="8"/>
  <c r="E42" i="8" s="1"/>
  <c r="E40" i="8"/>
  <c r="E39" i="8"/>
  <c r="E38" i="8"/>
  <c r="D37" i="8"/>
  <c r="E37" i="8" s="1"/>
  <c r="D36" i="8"/>
  <c r="E36" i="8" s="1"/>
  <c r="E35" i="8"/>
  <c r="D34" i="8"/>
  <c r="E34" i="8" s="1"/>
  <c r="E33" i="8"/>
  <c r="D32" i="8"/>
  <c r="E32" i="8" s="1"/>
  <c r="E29" i="8"/>
  <c r="E28" i="8"/>
  <c r="E27" i="8"/>
  <c r="E25" i="8"/>
  <c r="E24" i="8"/>
  <c r="E23" i="8"/>
  <c r="E22" i="8"/>
  <c r="E21" i="8"/>
  <c r="E19" i="8"/>
  <c r="E18" i="8"/>
  <c r="E17" i="8"/>
  <c r="E15" i="8"/>
  <c r="E14" i="8"/>
  <c r="E13" i="8"/>
  <c r="E11" i="8"/>
  <c r="E10" i="8"/>
  <c r="E9" i="8"/>
  <c r="E8" i="8"/>
  <c r="E7" i="8"/>
  <c r="E80" i="7"/>
  <c r="E79" i="7"/>
  <c r="E78" i="7"/>
  <c r="E77" i="7"/>
  <c r="E76" i="7"/>
  <c r="D75" i="7"/>
  <c r="E75" i="7" s="1"/>
  <c r="E74" i="7"/>
  <c r="D73" i="7"/>
  <c r="E73" i="7" s="1"/>
  <c r="E70" i="7"/>
  <c r="D69" i="7"/>
  <c r="E69" i="7" s="1"/>
  <c r="D68" i="7"/>
  <c r="E68" i="7" s="1"/>
  <c r="E65" i="7"/>
  <c r="E64" i="7"/>
  <c r="D63" i="7"/>
  <c r="E63" i="7" s="1"/>
  <c r="E62" i="7"/>
  <c r="E61" i="7"/>
  <c r="D60" i="7"/>
  <c r="E60" i="7" s="1"/>
  <c r="D58" i="7"/>
  <c r="E58" i="7" s="1"/>
  <c r="C58" i="7"/>
  <c r="E57" i="7"/>
  <c r="D56" i="7"/>
  <c r="E56" i="7" s="1"/>
  <c r="D55" i="7"/>
  <c r="E55" i="7" s="1"/>
  <c r="E54" i="7"/>
  <c r="D54" i="7"/>
  <c r="D51" i="7"/>
  <c r="E51" i="7" s="1"/>
  <c r="D50" i="7"/>
  <c r="E50" i="7" s="1"/>
  <c r="E49" i="7"/>
  <c r="D48" i="7"/>
  <c r="E48" i="7" s="1"/>
  <c r="E46" i="7"/>
  <c r="E45" i="7"/>
  <c r="D43" i="7"/>
  <c r="E43" i="7" s="1"/>
  <c r="D42" i="7"/>
  <c r="E42" i="7" s="1"/>
  <c r="E40" i="7"/>
  <c r="E39" i="7"/>
  <c r="E38" i="7"/>
  <c r="D37" i="7"/>
  <c r="E37" i="7" s="1"/>
  <c r="E36" i="7"/>
  <c r="D36" i="7"/>
  <c r="E35" i="7"/>
  <c r="D34" i="7"/>
  <c r="E34" i="7" s="1"/>
  <c r="E33" i="7"/>
  <c r="D32" i="7"/>
  <c r="E32" i="7" s="1"/>
  <c r="E29" i="7"/>
  <c r="E28" i="7"/>
  <c r="D27" i="7"/>
  <c r="E27" i="7" s="1"/>
  <c r="E25" i="7"/>
  <c r="E24" i="7"/>
  <c r="E23" i="7"/>
  <c r="E22" i="7"/>
  <c r="D21" i="7"/>
  <c r="E21" i="7" s="1"/>
  <c r="E19" i="7"/>
  <c r="E18" i="7"/>
  <c r="E17" i="7"/>
  <c r="E15" i="7"/>
  <c r="E14" i="7"/>
  <c r="D13" i="7"/>
  <c r="E13" i="7" s="1"/>
  <c r="E11" i="7"/>
  <c r="E10" i="7"/>
  <c r="E9" i="7"/>
  <c r="E8" i="7"/>
  <c r="D7" i="7"/>
  <c r="E7" i="7" s="1"/>
  <c r="B4" i="3"/>
  <c r="E28" i="6"/>
  <c r="E28" i="2"/>
  <c r="E80" i="6"/>
  <c r="E79" i="6"/>
  <c r="E78" i="6"/>
  <c r="E77" i="6"/>
  <c r="E76" i="6"/>
  <c r="D75" i="6"/>
  <c r="E75" i="6" s="1"/>
  <c r="E74" i="6"/>
  <c r="D73" i="6"/>
  <c r="E73" i="6" s="1"/>
  <c r="E70" i="6"/>
  <c r="D69" i="6"/>
  <c r="E69" i="6" s="1"/>
  <c r="D68" i="6"/>
  <c r="E68" i="6" s="1"/>
  <c r="E65" i="6"/>
  <c r="E64" i="6"/>
  <c r="D63" i="6"/>
  <c r="E63" i="6" s="1"/>
  <c r="E62" i="6"/>
  <c r="E61" i="6"/>
  <c r="D60" i="6"/>
  <c r="E60" i="6" s="1"/>
  <c r="D58" i="6"/>
  <c r="C58" i="6"/>
  <c r="E58" i="6" s="1"/>
  <c r="E57" i="6"/>
  <c r="E56" i="6"/>
  <c r="D56" i="6"/>
  <c r="E55" i="6"/>
  <c r="E54" i="6"/>
  <c r="D51" i="6"/>
  <c r="E51" i="6" s="1"/>
  <c r="D50" i="6"/>
  <c r="E50" i="6" s="1"/>
  <c r="E49" i="6"/>
  <c r="D48" i="6"/>
  <c r="E48" i="6" s="1"/>
  <c r="E46" i="6"/>
  <c r="E45" i="6"/>
  <c r="D43" i="6"/>
  <c r="E43" i="6" s="1"/>
  <c r="D42" i="6"/>
  <c r="E42" i="6" s="1"/>
  <c r="E40" i="6"/>
  <c r="E39" i="6"/>
  <c r="E38" i="6"/>
  <c r="D37" i="6"/>
  <c r="E37" i="6" s="1"/>
  <c r="D36" i="6"/>
  <c r="E36" i="6" s="1"/>
  <c r="E35" i="6"/>
  <c r="D34" i="6"/>
  <c r="E34" i="6" s="1"/>
  <c r="E33" i="6"/>
  <c r="D32" i="6"/>
  <c r="E32" i="6" s="1"/>
  <c r="E29" i="6"/>
  <c r="E27" i="6"/>
  <c r="E25" i="6"/>
  <c r="E24" i="6"/>
  <c r="E23" i="6"/>
  <c r="E22" i="6"/>
  <c r="E21" i="6"/>
  <c r="E19" i="6"/>
  <c r="E18" i="6"/>
  <c r="E17" i="6"/>
  <c r="E15" i="6"/>
  <c r="E14" i="6"/>
  <c r="E13" i="6"/>
  <c r="E11" i="6"/>
  <c r="E10" i="6"/>
  <c r="E9" i="6"/>
  <c r="E8" i="6"/>
  <c r="E7" i="6"/>
  <c r="E79" i="5"/>
  <c r="E78" i="5"/>
  <c r="E77" i="5"/>
  <c r="E76" i="5"/>
  <c r="E75" i="5"/>
  <c r="E74" i="5"/>
  <c r="D74" i="5"/>
  <c r="E73" i="5"/>
  <c r="E72" i="5"/>
  <c r="E69" i="5"/>
  <c r="D68" i="5"/>
  <c r="E68" i="5" s="1"/>
  <c r="E67" i="5"/>
  <c r="D67" i="5"/>
  <c r="E64" i="5"/>
  <c r="E63" i="5"/>
  <c r="D62" i="5"/>
  <c r="E62" i="5" s="1"/>
  <c r="E61" i="5"/>
  <c r="E60" i="5"/>
  <c r="E59" i="5"/>
  <c r="D59" i="5"/>
  <c r="D57" i="5"/>
  <c r="C57" i="5"/>
  <c r="E57" i="5" s="1"/>
  <c r="E56" i="5"/>
  <c r="D55" i="5"/>
  <c r="E55" i="5" s="1"/>
  <c r="E54" i="5"/>
  <c r="D54" i="5"/>
  <c r="D53" i="5"/>
  <c r="E53" i="5" s="1"/>
  <c r="D50" i="5"/>
  <c r="E50" i="5" s="1"/>
  <c r="D49" i="5"/>
  <c r="E49" i="5" s="1"/>
  <c r="E48" i="5"/>
  <c r="D47" i="5"/>
  <c r="E47" i="5" s="1"/>
  <c r="E45" i="5"/>
  <c r="E44" i="5"/>
  <c r="D42" i="5"/>
  <c r="E42" i="5" s="1"/>
  <c r="D41" i="5"/>
  <c r="E41" i="5" s="1"/>
  <c r="E39" i="5"/>
  <c r="E38" i="5"/>
  <c r="E37" i="5"/>
  <c r="D36" i="5"/>
  <c r="E36" i="5" s="1"/>
  <c r="D35" i="5"/>
  <c r="E35" i="5" s="1"/>
  <c r="E34" i="5"/>
  <c r="D33" i="5"/>
  <c r="E33" i="5" s="1"/>
  <c r="E32" i="5"/>
  <c r="D31" i="5"/>
  <c r="E31" i="5" s="1"/>
  <c r="E28" i="5"/>
  <c r="D27" i="5"/>
  <c r="E27" i="5" s="1"/>
  <c r="E25" i="5"/>
  <c r="E24" i="5"/>
  <c r="E23" i="5"/>
  <c r="E22" i="5"/>
  <c r="D21" i="5"/>
  <c r="E21" i="5" s="1"/>
  <c r="E19" i="5"/>
  <c r="E18" i="5"/>
  <c r="E17" i="5"/>
  <c r="E15" i="5"/>
  <c r="E14" i="5"/>
  <c r="D13" i="5"/>
  <c r="E13" i="5" s="1"/>
  <c r="E11" i="5"/>
  <c r="E10" i="5"/>
  <c r="E9" i="5"/>
  <c r="E8" i="5"/>
  <c r="D7" i="5"/>
  <c r="E7" i="5" s="1"/>
  <c r="E79" i="4"/>
  <c r="E78" i="4"/>
  <c r="E77" i="4"/>
  <c r="E76" i="4"/>
  <c r="E75" i="4"/>
  <c r="D74" i="4"/>
  <c r="E74" i="4" s="1"/>
  <c r="E73" i="4"/>
  <c r="D72" i="4"/>
  <c r="E72" i="4" s="1"/>
  <c r="E69" i="4"/>
  <c r="D68" i="4"/>
  <c r="E68" i="4" s="1"/>
  <c r="D67" i="4"/>
  <c r="E67" i="4" s="1"/>
  <c r="E64" i="4"/>
  <c r="E63" i="4"/>
  <c r="D62" i="4"/>
  <c r="E62" i="4" s="1"/>
  <c r="E61" i="4"/>
  <c r="E60" i="4"/>
  <c r="D59" i="4"/>
  <c r="E59" i="4" s="1"/>
  <c r="D57" i="4"/>
  <c r="C57" i="4"/>
  <c r="E57" i="4" s="1"/>
  <c r="E56" i="4"/>
  <c r="D55" i="4"/>
  <c r="E55" i="4" s="1"/>
  <c r="D54" i="4"/>
  <c r="E54" i="4" s="1"/>
  <c r="D53" i="4"/>
  <c r="E53" i="4" s="1"/>
  <c r="D50" i="4"/>
  <c r="E50" i="4" s="1"/>
  <c r="D49" i="4"/>
  <c r="E49" i="4" s="1"/>
  <c r="E48" i="4"/>
  <c r="D47" i="4"/>
  <c r="E47" i="4" s="1"/>
  <c r="E45" i="4"/>
  <c r="E44" i="4"/>
  <c r="D42" i="4"/>
  <c r="E42" i="4" s="1"/>
  <c r="D41" i="4"/>
  <c r="E41" i="4" s="1"/>
  <c r="E39" i="4"/>
  <c r="E38" i="4"/>
  <c r="E37" i="4"/>
  <c r="D36" i="4"/>
  <c r="E36" i="4" s="1"/>
  <c r="E35" i="4"/>
  <c r="D35" i="4"/>
  <c r="E34" i="4"/>
  <c r="D33" i="4"/>
  <c r="E33" i="4" s="1"/>
  <c r="E32" i="4"/>
  <c r="D31" i="4"/>
  <c r="E31" i="4" s="1"/>
  <c r="E28" i="4"/>
  <c r="D27" i="4"/>
  <c r="E27" i="4" s="1"/>
  <c r="E25" i="4"/>
  <c r="E24" i="4"/>
  <c r="E23" i="4"/>
  <c r="E22" i="4"/>
  <c r="D21" i="4"/>
  <c r="E21" i="4" s="1"/>
  <c r="E19" i="4"/>
  <c r="E18" i="4"/>
  <c r="E17" i="4"/>
  <c r="E15" i="4"/>
  <c r="E14" i="4"/>
  <c r="D13" i="4"/>
  <c r="E13" i="4" s="1"/>
  <c r="E11" i="4"/>
  <c r="E10" i="4"/>
  <c r="E9" i="4"/>
  <c r="E8" i="4"/>
  <c r="D7" i="4"/>
  <c r="E7" i="4" s="1"/>
  <c r="C58" i="2"/>
  <c r="D7" i="2"/>
  <c r="E7" i="2" s="1"/>
  <c r="D63" i="2"/>
  <c r="E63" i="2" s="1"/>
  <c r="D27" i="2"/>
  <c r="E27" i="2" s="1"/>
  <c r="E73" i="2"/>
  <c r="D51" i="2"/>
  <c r="E51" i="2" s="1"/>
  <c r="D50" i="2"/>
  <c r="E50" i="2" s="1"/>
  <c r="D48" i="2"/>
  <c r="E48" i="2" s="1"/>
  <c r="D13" i="2"/>
  <c r="E13" i="2" s="1"/>
  <c r="D21" i="2"/>
  <c r="E21" i="2" s="1"/>
  <c r="D56" i="2"/>
  <c r="E56" i="2" s="1"/>
  <c r="D55" i="2"/>
  <c r="E55" i="2" s="1"/>
  <c r="D54" i="2"/>
  <c r="E54" i="2" s="1"/>
  <c r="D69" i="2"/>
  <c r="E69" i="2" s="1"/>
  <c r="D68" i="2"/>
  <c r="E68" i="2" s="1"/>
  <c r="D60" i="2"/>
  <c r="E60" i="2" s="1"/>
  <c r="D58" i="2"/>
  <c r="E3" i="3"/>
  <c r="E4" i="3"/>
  <c r="E5" i="3"/>
  <c r="E6" i="3"/>
  <c r="E7" i="3"/>
  <c r="E8" i="3"/>
  <c r="E9" i="3"/>
  <c r="E10" i="3"/>
  <c r="E11" i="3"/>
  <c r="E12" i="3"/>
  <c r="E2" i="3"/>
  <c r="C4" i="3"/>
  <c r="C8" i="3"/>
  <c r="C9" i="3"/>
  <c r="C11" i="3"/>
  <c r="C12" i="3"/>
  <c r="D75" i="2"/>
  <c r="E75" i="2" s="1"/>
  <c r="E80" i="2"/>
  <c r="E8" i="2"/>
  <c r="E9" i="2"/>
  <c r="E10" i="2"/>
  <c r="E11" i="2"/>
  <c r="E14" i="2"/>
  <c r="E15" i="2"/>
  <c r="E17" i="2"/>
  <c r="E18" i="2"/>
  <c r="E19" i="2"/>
  <c r="E22" i="2"/>
  <c r="E23" i="2"/>
  <c r="E24" i="2"/>
  <c r="E25" i="2"/>
  <c r="E29" i="2"/>
  <c r="E33" i="2"/>
  <c r="E35" i="2"/>
  <c r="E38" i="2"/>
  <c r="E39" i="2"/>
  <c r="E40" i="2"/>
  <c r="E46" i="2"/>
  <c r="E49" i="2"/>
  <c r="E57" i="2"/>
  <c r="E61" i="2"/>
  <c r="E62" i="2"/>
  <c r="E64" i="2"/>
  <c r="E65" i="2"/>
  <c r="E70" i="2"/>
  <c r="E74" i="2"/>
  <c r="E76" i="2"/>
  <c r="E77" i="2"/>
  <c r="E78" i="2"/>
  <c r="E79" i="2"/>
  <c r="E45" i="2"/>
  <c r="D43" i="2"/>
  <c r="E43" i="2" s="1"/>
  <c r="D42" i="2"/>
  <c r="E42" i="2" s="1"/>
  <c r="D37" i="2"/>
  <c r="E37" i="2" s="1"/>
  <c r="D36" i="2"/>
  <c r="E36" i="2" s="1"/>
  <c r="D34" i="2"/>
  <c r="E34" i="2" s="1"/>
  <c r="D32" i="2"/>
  <c r="E32" i="2" s="1"/>
  <c r="E81" i="14" l="1"/>
  <c r="E82" i="14" s="1"/>
  <c r="E81" i="13"/>
  <c r="E82" i="13" s="1"/>
  <c r="E81" i="12"/>
  <c r="E82" i="12" s="1"/>
  <c r="E81" i="11"/>
  <c r="E82" i="11" s="1"/>
  <c r="E81" i="10"/>
  <c r="E82" i="10" s="1"/>
  <c r="E81" i="9"/>
  <c r="E82" i="9" s="1"/>
  <c r="E81" i="8"/>
  <c r="E82" i="8" s="1"/>
  <c r="E81" i="7"/>
  <c r="E82" i="7" s="1"/>
  <c r="B5" i="3" s="1"/>
  <c r="C5" i="3" s="1"/>
  <c r="F5" i="3" s="1"/>
  <c r="G5" i="3" s="1"/>
  <c r="E81" i="6"/>
  <c r="E82" i="6" s="1"/>
  <c r="E80" i="5"/>
  <c r="E81" i="5" s="1"/>
  <c r="B3" i="3" s="1"/>
  <c r="C3" i="3" s="1"/>
  <c r="F3" i="3" s="1"/>
  <c r="G3" i="3" s="1"/>
  <c r="E80" i="4"/>
  <c r="E81" i="4" s="1"/>
  <c r="B2" i="3" s="1"/>
  <c r="C2" i="3" s="1"/>
  <c r="F2" i="3" s="1"/>
  <c r="G2" i="3" s="1"/>
  <c r="E58" i="2"/>
  <c r="F8" i="3"/>
  <c r="G8" i="3" s="1"/>
  <c r="E81" i="2"/>
  <c r="E82" i="2" s="1"/>
  <c r="F7" i="3"/>
  <c r="G7" i="3" s="1"/>
  <c r="F6" i="3"/>
  <c r="G6" i="3" s="1"/>
  <c r="F4" i="3"/>
  <c r="G4" i="3" s="1"/>
  <c r="F11" i="3"/>
  <c r="G11" i="3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<sst xmlns="http://schemas.openxmlformats.org/spreadsheetml/2006/main" count="1720" uniqueCount="101">
  <si>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</si>
  <si>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</si>
  <si>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</si>
  <si>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</si>
  <si>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</si>
  <si>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</si>
  <si>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b/>
        <u/>
        <sz val="16"/>
        <rFont val="Calibri"/>
        <family val="1"/>
      </rPr>
      <t>A2. Bromo 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</si>
  <si>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</si>
  <si>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</si>
  <si>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</si>
  <si>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</si>
  <si>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</si>
  <si>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</si>
  <si>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</si>
  <si>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</si>
  <si>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</si>
  <si>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</si>
  <si>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</si>
  <si>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</si>
  <si>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</si>
  <si>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</si>
  <si>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</si>
  <si>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</si>
  <si>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</si>
  <si>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</si>
  <si>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</si>
  <si>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</si>
  <si>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</si>
  <si>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</si>
  <si>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</si>
  <si>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</si>
  <si>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</si>
  <si>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</si>
  <si>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</si>
  <si>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</si>
  <si>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</si>
  <si>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</si>
  <si>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</si>
  <si>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</si>
  <si>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</si>
  <si>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</si>
  <si>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</si>
  <si>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</si>
  <si>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</si>
  <si>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</si>
  <si>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</si>
  <si>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</si>
  <si>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</si>
  <si>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</si>
  <si>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</si>
  <si>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</si>
  <si>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</si>
  <si>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</si>
  <si>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</si>
  <si>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</si>
  <si>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</si>
  <si>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</si>
  <si>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</si>
  <si>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</si>
  <si>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</si>
  <si>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</si>
  <si>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</si>
  <si>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</si>
  <si>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</si>
  <si>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</si>
  <si>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</si>
  <si>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</si>
  <si>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</si>
  <si>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</si>
  <si>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</si>
  <si>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</si>
  <si>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</si>
  <si>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Probolinggo + Malang</t>
  </si>
  <si>
    <t>Escort Guide</t>
  </si>
  <si>
    <t>Driver Only</t>
  </si>
  <si>
    <t>C4. Transport Bali</t>
  </si>
  <si>
    <t>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</si>
  <si>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</si>
  <si>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</si>
  <si>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</si>
  <si>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</si>
  <si>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</si>
  <si>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</si>
  <si>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</si>
  <si>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</si>
  <si>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</si>
  <si>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</si>
  <si>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</si>
  <si>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</si>
  <si>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</si>
  <si>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</si>
  <si>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1</t>
  </si>
  <si>
    <t>Expense / Pax</t>
  </si>
  <si>
    <t>Harga / Pax</t>
  </si>
  <si>
    <t>Total Harga</t>
  </si>
  <si>
    <t>Extra Luggage</t>
  </si>
  <si>
    <t>Riverside - Lunch</t>
  </si>
  <si>
    <t>Riverside - Dinner</t>
  </si>
  <si>
    <t>Holiday inn - Extra Bed</t>
  </si>
  <si>
    <t>5 Day Ijen, Papuma Beach, Tumpak Sewu &amp; Bromo Nature Trip from Surabaya</t>
  </si>
  <si>
    <t>Price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</si>
</sst>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8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64" fontId="10" fillId="7" borderId="2" xfId="1" applyNumberFormat="1" applyFont="1" applyFill="1" applyBorder="1"/>
    <xf numFmtId="164" fontId="10" fillId="7" borderId="2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164" fontId="16" fillId="8" borderId="2" xfId="1" applyNumberFormat="1" applyFont="1" applyFill="1" applyBorder="1"/>
    <xf numFmtId="164" fontId="16" fillId="8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0" applyNumberFormat="1" applyFont="1" applyFill="1" applyBorder="1"/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4" borderId="1" xfId="0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 codeName="Sheet1">
    <pageSetUpPr fitToPage="1"/>
  </sheetPr>
  <dimension ref="A1:N82"/>
  <sheetViews>
    <sheetView topLeftCell="A50" zoomScale="90" zoomScaleNormal="70" workbookViewId="0">
      <selection activeCell="D74" sqref="D74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2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1</v>
      </c>
      <c r="E7" s="42">
        <f t="shared" ref="E7:E50" si="0">C7*D7</f>
        <v>337500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1</v>
      </c>
      <c r="E13" s="42">
        <f t="shared" si="0"/>
        <v>750000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1</v>
      </c>
      <c r="E21" s="42">
        <f>C21*D21</f>
        <v>260000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1</v>
      </c>
      <c r="E27" s="42">
        <f t="shared" si="0"/>
        <v>550000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/>
      <c r="E28" s="42">
        <f t="shared" ref="E28" si="1">C28*D28</f>
        <v>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2</v>
      </c>
      <c r="E32" s="42">
        <f>C32*D32</f>
        <v>150000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2</v>
      </c>
      <c r="E34" s="42">
        <f t="shared" si="0"/>
        <v>50000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2</v>
      </c>
      <c r="E36" s="42">
        <f t="shared" si="0"/>
        <v>130000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2</v>
      </c>
      <c r="E37" s="42">
        <f t="shared" si="0"/>
        <v>130000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2</v>
      </c>
      <c r="E42" s="42">
        <f t="shared" si="0"/>
        <v>320000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1</v>
      </c>
      <c r="E43" s="42">
        <f t="shared" si="0"/>
        <v>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2</v>
      </c>
      <c r="E48" s="42">
        <f t="shared" si="0"/>
        <v>300000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2</v>
      </c>
      <c r="E50" s="42">
        <f t="shared" si="0"/>
        <v>100000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2</v>
      </c>
      <c r="E51" s="42">
        <f t="shared" ref="E51:E79" si="2">C51*D51</f>
        <v>80000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4</v>
      </c>
      <c r="E54" s="42">
        <f t="shared" si="2"/>
        <v>1800000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2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0</v>
      </c>
      <c r="E56" s="42">
        <f t="shared" si="2"/>
        <v>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2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ref="E58" si="3">C58*D58</f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2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2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2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1</v>
      </c>
      <c r="E63" s="42">
        <f t="shared" si="2"/>
        <v>200000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2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2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4</v>
      </c>
      <c r="E68" s="42">
        <f t="shared" si="2"/>
        <v>1000000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0</v>
      </c>
      <c r="E69" s="42">
        <f t="shared" si="2"/>
        <v>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2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2</v>
      </c>
      <c r="E73" s="42">
        <f t="shared" si="2"/>
        <v>80000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2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2</v>
      </c>
      <c r="E75" s="42">
        <f t="shared" si="2"/>
        <v>120000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2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2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2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2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7607500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3803750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sheetPr codeName="Sheet2"/>
  <dimension ref="A1:G12"/>
  <sheetViews>
    <sheetView workbookViewId="0">
      <selection activeCell="E25" sqref="E25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</cols>
  <sheetData>
    <row r="1" spans="1:7" ht="15" x14ac:dyDescent="0.25">
      <c r="A1" s="19" t="s">
        <v>88</v>
      </c>
      <c r="B1" s="19" t="s">
        <v>92</v>
      </c>
      <c r="C1" s="19" t="s">
        <v>87</v>
      </c>
      <c r="D1" s="19" t="s">
        <v>93</v>
      </c>
      <c r="E1" s="19" t="s">
        <v>94</v>
      </c>
      <c r="F1" s="19" t="s">
        <v>89</v>
      </c>
      <c r="G1" s="19" t="s">
        <v>90</v>
      </c>
    </row>
    <row r="2" spans="1:7" ht="15" x14ac:dyDescent="0.25">
      <c r="A2" s="20" t="s">
        <v>91</v>
      </c>
      <c r="B2" s="21">
        <f>'1 Pax'!E81</f>
        <v>6831500</v>
      </c>
      <c r="C2" s="22">
        <f>B2*A2</f>
        <v>6831500</v>
      </c>
      <c r="D2" s="21">
        <v>9000000</v>
      </c>
      <c r="E2" s="21">
        <f>D2*A2</f>
        <v>9000000</v>
      </c>
      <c r="F2" s="21">
        <f t="shared" ref="F2:F12" si="0">E2-C2</f>
        <v>2168500</v>
      </c>
      <c r="G2" s="21">
        <f>F2/E2*100</f>
        <v>24.094444444444445</v>
      </c>
    </row>
    <row r="3" spans="1:7" ht="15" x14ac:dyDescent="0.25">
      <c r="A3" s="23">
        <v>2</v>
      </c>
      <c r="B3" s="24">
        <f>'2 Pax'!E81</f>
        <v>3803750</v>
      </c>
      <c r="C3" s="25">
        <f t="shared" ref="C3:C12" si="1">B3*A3</f>
        <v>7607500</v>
      </c>
      <c r="D3" s="24">
        <v>5000000</v>
      </c>
      <c r="E3" s="24">
        <f t="shared" ref="E3:E12" si="2">D3*A3</f>
        <v>10000000</v>
      </c>
      <c r="F3" s="24">
        <f t="shared" si="0"/>
        <v>2392500</v>
      </c>
      <c r="G3" s="24">
        <f t="shared" ref="G3:G12" si="3">F3/E3*100</f>
        <v>23.925000000000001</v>
      </c>
    </row>
    <row r="4" spans="1:7" ht="15" x14ac:dyDescent="0.25">
      <c r="A4" s="26">
        <v>3</v>
      </c>
      <c r="B4" s="27">
        <f>'3 Pax'!E82</f>
        <v>3064166.6666666665</v>
      </c>
      <c r="C4" s="27">
        <f t="shared" si="1"/>
        <v>9192500</v>
      </c>
      <c r="D4" s="28">
        <v>4800000</v>
      </c>
      <c r="E4" s="28">
        <f t="shared" si="2"/>
        <v>14400000</v>
      </c>
      <c r="F4" s="28">
        <f t="shared" si="0"/>
        <v>5207500</v>
      </c>
      <c r="G4" s="28">
        <f t="shared" si="3"/>
        <v>36.163194444444443</v>
      </c>
    </row>
    <row r="5" spans="1:7" ht="15" x14ac:dyDescent="0.25">
      <c r="A5" s="26">
        <v>4</v>
      </c>
      <c r="B5" s="27">
        <f>'4 Pax'!E82</f>
        <v>3441250</v>
      </c>
      <c r="C5" s="27">
        <f t="shared" si="1"/>
        <v>13765000</v>
      </c>
      <c r="D5" s="28">
        <v>4500000</v>
      </c>
      <c r="E5" s="28">
        <f t="shared" si="2"/>
        <v>18000000</v>
      </c>
      <c r="F5" s="28">
        <f t="shared" si="0"/>
        <v>4235000</v>
      </c>
      <c r="G5" s="28">
        <f t="shared" si="3"/>
        <v>23.527777777777779</v>
      </c>
    </row>
    <row r="6" spans="1:7" ht="15" x14ac:dyDescent="0.25">
      <c r="A6" s="32">
        <v>5</v>
      </c>
      <c r="B6" s="33">
        <f>'5 Pax'!E82</f>
        <v>3182000</v>
      </c>
      <c r="C6" s="33">
        <f t="shared" si="1"/>
        <v>15910000</v>
      </c>
      <c r="D6" s="34">
        <v>4500000</v>
      </c>
      <c r="E6" s="34">
        <f t="shared" si="2"/>
        <v>22500000</v>
      </c>
      <c r="F6" s="34">
        <f t="shared" si="0"/>
        <v>6590000</v>
      </c>
      <c r="G6" s="34">
        <f t="shared" si="3"/>
        <v>29.288888888888888</v>
      </c>
    </row>
    <row r="7" spans="1:7" ht="15" x14ac:dyDescent="0.25">
      <c r="A7" s="32">
        <v>6</v>
      </c>
      <c r="B7" s="33">
        <f>'6 Pax'!E82</f>
        <v>2923750</v>
      </c>
      <c r="C7" s="33">
        <f t="shared" si="1"/>
        <v>17542500</v>
      </c>
      <c r="D7" s="34">
        <v>4200000</v>
      </c>
      <c r="E7" s="34">
        <f t="shared" si="2"/>
        <v>25200000</v>
      </c>
      <c r="F7" s="34">
        <f t="shared" si="0"/>
        <v>7657500</v>
      </c>
      <c r="G7" s="34">
        <f t="shared" si="3"/>
        <v>30.386904761904759</v>
      </c>
    </row>
    <row r="8" spans="1:7" ht="15" x14ac:dyDescent="0.25">
      <c r="A8" s="32">
        <v>7</v>
      </c>
      <c r="B8" s="33">
        <f>'7 Pax'!E82</f>
        <v>2775357.1428571427</v>
      </c>
      <c r="C8" s="33">
        <f t="shared" si="1"/>
        <v>19427500</v>
      </c>
      <c r="D8" s="34">
        <v>4200000</v>
      </c>
      <c r="E8" s="34">
        <f t="shared" si="2"/>
        <v>29400000</v>
      </c>
      <c r="F8" s="34">
        <f t="shared" si="0"/>
        <v>9972500</v>
      </c>
      <c r="G8" s="34">
        <f t="shared" si="3"/>
        <v>33.920068027210888</v>
      </c>
    </row>
    <row r="9" spans="1:7" ht="15" x14ac:dyDescent="0.25">
      <c r="A9" s="35">
        <v>8</v>
      </c>
      <c r="B9" s="36">
        <f>'8 Pax'!E82</f>
        <v>2637500</v>
      </c>
      <c r="C9" s="37">
        <f t="shared" si="1"/>
        <v>21100000</v>
      </c>
      <c r="D9" s="38">
        <v>3800000</v>
      </c>
      <c r="E9" s="38">
        <f t="shared" si="2"/>
        <v>30400000</v>
      </c>
      <c r="F9" s="38">
        <f t="shared" si="0"/>
        <v>9300000</v>
      </c>
      <c r="G9" s="38">
        <f t="shared" si="3"/>
        <v>30.592105263157894</v>
      </c>
    </row>
    <row r="10" spans="1:7" ht="15" x14ac:dyDescent="0.25">
      <c r="A10" s="35">
        <v>9</v>
      </c>
      <c r="B10" s="37">
        <f>'9 Pax'!E82</f>
        <v>2582777.777777778</v>
      </c>
      <c r="C10" s="37">
        <f t="shared" si="1"/>
        <v>23245000</v>
      </c>
      <c r="D10" s="38">
        <v>3800000</v>
      </c>
      <c r="E10" s="38">
        <f t="shared" si="2"/>
        <v>34200000</v>
      </c>
      <c r="F10" s="38">
        <f t="shared" si="0"/>
        <v>10955000</v>
      </c>
      <c r="G10" s="38">
        <f t="shared" si="3"/>
        <v>32.032163742690059</v>
      </c>
    </row>
    <row r="11" spans="1:7" ht="15" x14ac:dyDescent="0.25">
      <c r="A11" s="35">
        <v>10</v>
      </c>
      <c r="B11" s="37">
        <f>'10 Pax'!E82</f>
        <v>2791750</v>
      </c>
      <c r="C11" s="37">
        <f t="shared" si="1"/>
        <v>27917500</v>
      </c>
      <c r="D11" s="38">
        <v>3800000</v>
      </c>
      <c r="E11" s="38">
        <f t="shared" si="2"/>
        <v>38000000</v>
      </c>
      <c r="F11" s="38">
        <f t="shared" si="0"/>
        <v>10082500</v>
      </c>
      <c r="G11" s="38">
        <f t="shared" si="3"/>
        <v>26.532894736842106</v>
      </c>
    </row>
    <row r="12" spans="1:7" ht="15" x14ac:dyDescent="0.25">
      <c r="A12" s="29">
        <v>11</v>
      </c>
      <c r="B12" s="30">
        <f>'11 Pax'!E82</f>
        <v>2691136.3636363638</v>
      </c>
      <c r="C12" s="30">
        <f t="shared" si="1"/>
        <v>29602500</v>
      </c>
      <c r="D12" s="31">
        <v>3600000</v>
      </c>
      <c r="E12" s="31">
        <f t="shared" si="2"/>
        <v>39600000</v>
      </c>
      <c r="F12" s="31">
        <f t="shared" si="0"/>
        <v>9997500</v>
      </c>
      <c r="G12" s="31">
        <f t="shared" si="3"/>
        <v>25.246212121212118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7410-83A0-FB47-9B89-CF8F14DFA6AC}">
  <sheetPr codeName="Sheet3">
    <pageSetUpPr fitToPage="1"/>
  </sheetPr>
  <dimension ref="A1:N81"/>
  <sheetViews>
    <sheetView tabSelected="1" zoomScale="90" zoomScaleNormal="70" workbookViewId="0">
      <selection activeCell="F2" sqref="F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/>
      <c r="C1" s="2" t="s">
        <v>82</v>
      </c>
      <c r="D1" s="2" t="s">
        <v>83</v>
      </c>
      <c r="E1" s="2" t="s">
        <v>100</v>
      </c>
    </row>
    <row r="2" spans="1:14" ht="27.75" customHeight="1" x14ac:dyDescent="0.2">
      <c r="A2" s="3" t="s">
        <v>99</v>
      </c>
      <c r="B2" s="3"/>
      <c r="C2" s="3">
        <v>5</v>
      </c>
      <c r="D2" s="46">
        <v>1</v>
      </c>
      <c r="E2" s="47">
        <v>9050000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1</v>
      </c>
      <c r="E7" s="42">
        <f t="shared" ref="E7:E69" si="0">C7*D7</f>
        <v>337500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1</v>
      </c>
      <c r="E13" s="42">
        <f t="shared" si="0"/>
        <v>750000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1</v>
      </c>
      <c r="E21" s="42">
        <f>C21*D21</f>
        <v>260000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1</v>
      </c>
      <c r="E27" s="42">
        <f t="shared" si="0"/>
        <v>550000</v>
      </c>
    </row>
    <row r="28" spans="1:5" ht="22.5" customHeight="1" x14ac:dyDescent="0.2">
      <c r="A28" s="10" t="s">
        <v>71</v>
      </c>
      <c r="B28" s="11" t="s">
        <v>5</v>
      </c>
      <c r="C28" s="42">
        <v>710000</v>
      </c>
      <c r="D28" s="12"/>
      <c r="E28" s="42">
        <f t="shared" si="0"/>
        <v>0</v>
      </c>
    </row>
    <row r="29" spans="1:5" ht="22.5" customHeight="1" x14ac:dyDescent="0.3">
      <c r="A29" s="6" t="s">
        <v>17</v>
      </c>
      <c r="B29" s="7"/>
      <c r="C29" s="43"/>
      <c r="D29" s="12"/>
      <c r="E29" s="42"/>
    </row>
    <row r="30" spans="1:5" ht="22.5" customHeight="1" x14ac:dyDescent="0.3">
      <c r="A30" s="9" t="s">
        <v>18</v>
      </c>
      <c r="B30" s="7"/>
      <c r="C30" s="43"/>
      <c r="D30" s="12"/>
      <c r="E30" s="42"/>
    </row>
    <row r="31" spans="1:5" ht="22.5" customHeight="1" x14ac:dyDescent="0.2">
      <c r="A31" s="10" t="s">
        <v>60</v>
      </c>
      <c r="B31" s="11" t="s">
        <v>19</v>
      </c>
      <c r="C31" s="42">
        <v>75000</v>
      </c>
      <c r="D31" s="12">
        <f>D2</f>
        <v>1</v>
      </c>
      <c r="E31" s="42">
        <f>C31*D31</f>
        <v>75000</v>
      </c>
    </row>
    <row r="32" spans="1:5" ht="22.5" customHeight="1" x14ac:dyDescent="0.2">
      <c r="A32" s="13" t="s">
        <v>20</v>
      </c>
      <c r="B32" s="11" t="s">
        <v>19</v>
      </c>
      <c r="C32" s="42">
        <v>55000</v>
      </c>
      <c r="D32" s="12"/>
      <c r="E32" s="42">
        <f t="shared" si="0"/>
        <v>0</v>
      </c>
    </row>
    <row r="33" spans="1:5" ht="22.5" customHeight="1" x14ac:dyDescent="0.2">
      <c r="A33" s="10" t="s">
        <v>21</v>
      </c>
      <c r="B33" s="11" t="s">
        <v>19</v>
      </c>
      <c r="C33" s="42">
        <v>25000</v>
      </c>
      <c r="D33" s="12">
        <f>D2</f>
        <v>1</v>
      </c>
      <c r="E33" s="42">
        <f t="shared" si="0"/>
        <v>25000</v>
      </c>
    </row>
    <row r="34" spans="1:5" ht="22.5" customHeight="1" x14ac:dyDescent="0.2">
      <c r="A34" s="10" t="s">
        <v>79</v>
      </c>
      <c r="B34" s="11" t="s">
        <v>5</v>
      </c>
      <c r="C34" s="42">
        <v>250000</v>
      </c>
      <c r="D34" s="12">
        <v>1</v>
      </c>
      <c r="E34" s="42">
        <f t="shared" si="0"/>
        <v>250000</v>
      </c>
    </row>
    <row r="35" spans="1:5" ht="22.5" customHeight="1" x14ac:dyDescent="0.2">
      <c r="A35" s="13" t="s">
        <v>96</v>
      </c>
      <c r="B35" s="11" t="s">
        <v>19</v>
      </c>
      <c r="C35" s="42">
        <v>65000</v>
      </c>
      <c r="D35" s="12">
        <f>D2</f>
        <v>1</v>
      </c>
      <c r="E35" s="42">
        <f t="shared" si="0"/>
        <v>65000</v>
      </c>
    </row>
    <row r="36" spans="1:5" ht="22.5" customHeight="1" x14ac:dyDescent="0.2">
      <c r="A36" s="13" t="s">
        <v>97</v>
      </c>
      <c r="B36" s="11" t="s">
        <v>19</v>
      </c>
      <c r="C36" s="42">
        <v>65000</v>
      </c>
      <c r="D36" s="12">
        <f>D2</f>
        <v>1</v>
      </c>
      <c r="E36" s="42">
        <f t="shared" si="0"/>
        <v>65000</v>
      </c>
    </row>
    <row r="37" spans="1:5" ht="22.5" customHeight="1" x14ac:dyDescent="0.2">
      <c r="A37" s="10" t="s">
        <v>57</v>
      </c>
      <c r="B37" s="11" t="s">
        <v>19</v>
      </c>
      <c r="C37" s="42">
        <v>60000</v>
      </c>
      <c r="D37" s="12"/>
      <c r="E37" s="42">
        <f t="shared" si="0"/>
        <v>0</v>
      </c>
    </row>
    <row r="38" spans="1:5" ht="22.5" customHeight="1" x14ac:dyDescent="0.2">
      <c r="A38" s="10" t="s">
        <v>58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3" t="s">
        <v>22</v>
      </c>
      <c r="B39" s="11" t="s">
        <v>5</v>
      </c>
      <c r="C39" s="42">
        <v>35000</v>
      </c>
      <c r="D39" s="12"/>
      <c r="E39" s="42">
        <f t="shared" si="0"/>
        <v>0</v>
      </c>
    </row>
    <row r="40" spans="1:5" ht="22.5" customHeight="1" x14ac:dyDescent="0.3">
      <c r="A40" s="9" t="s">
        <v>23</v>
      </c>
      <c r="B40" s="7"/>
      <c r="C40" s="44"/>
      <c r="D40" s="12"/>
      <c r="E40" s="42"/>
    </row>
    <row r="41" spans="1:5" ht="22.5" customHeight="1" x14ac:dyDescent="0.2">
      <c r="A41" s="10" t="s">
        <v>59</v>
      </c>
      <c r="B41" s="11" t="s">
        <v>19</v>
      </c>
      <c r="C41" s="42">
        <v>160000</v>
      </c>
      <c r="D41" s="12">
        <f>D2</f>
        <v>1</v>
      </c>
      <c r="E41" s="42">
        <f t="shared" si="0"/>
        <v>160000</v>
      </c>
    </row>
    <row r="42" spans="1:5" ht="22.5" customHeight="1" x14ac:dyDescent="0.2">
      <c r="A42" s="13" t="s">
        <v>24</v>
      </c>
      <c r="B42" s="11" t="s">
        <v>19</v>
      </c>
      <c r="C42" s="42">
        <v>500000</v>
      </c>
      <c r="D42" s="12">
        <f>ROUNDUP(D2/4,0)</f>
        <v>1</v>
      </c>
      <c r="E42" s="42">
        <f t="shared" si="0"/>
        <v>500000</v>
      </c>
    </row>
    <row r="43" spans="1:5" ht="22.5" customHeight="1" x14ac:dyDescent="0.3">
      <c r="A43" s="15" t="s">
        <v>25</v>
      </c>
      <c r="B43" s="7"/>
      <c r="C43" s="44"/>
      <c r="D43" s="12"/>
      <c r="E43" s="42"/>
    </row>
    <row r="44" spans="1:5" ht="22.5" customHeight="1" x14ac:dyDescent="0.2">
      <c r="A44" s="13" t="s">
        <v>26</v>
      </c>
      <c r="B44" s="11" t="s">
        <v>19</v>
      </c>
      <c r="C44" s="42">
        <v>90000</v>
      </c>
      <c r="D44" s="12"/>
      <c r="E44" s="42">
        <f t="shared" si="0"/>
        <v>0</v>
      </c>
    </row>
    <row r="45" spans="1:5" ht="22.5" customHeight="1" x14ac:dyDescent="0.2">
      <c r="A45" s="10" t="s">
        <v>77</v>
      </c>
      <c r="B45" s="11" t="s">
        <v>5</v>
      </c>
      <c r="C45" s="42">
        <v>100000</v>
      </c>
      <c r="D45" s="12"/>
      <c r="E45" s="42">
        <f t="shared" si="0"/>
        <v>0</v>
      </c>
    </row>
    <row r="46" spans="1:5" ht="22.5" customHeight="1" x14ac:dyDescent="0.3">
      <c r="A46" s="9" t="s">
        <v>27</v>
      </c>
      <c r="B46" s="7"/>
      <c r="C46" s="44"/>
      <c r="D46" s="12"/>
      <c r="E46" s="42"/>
    </row>
    <row r="47" spans="1:5" ht="22.5" customHeight="1" x14ac:dyDescent="0.2">
      <c r="A47" s="13" t="s">
        <v>28</v>
      </c>
      <c r="B47" s="11" t="s">
        <v>19</v>
      </c>
      <c r="C47" s="42">
        <v>100000</v>
      </c>
      <c r="D47" s="12">
        <f>$D$2</f>
        <v>1</v>
      </c>
      <c r="E47" s="42">
        <f t="shared" si="0"/>
        <v>100000</v>
      </c>
    </row>
    <row r="48" spans="1:5" ht="22.5" customHeight="1" x14ac:dyDescent="0.2">
      <c r="A48" s="10" t="s">
        <v>78</v>
      </c>
      <c r="B48" s="11" t="s">
        <v>5</v>
      </c>
      <c r="C48" s="42">
        <v>200000</v>
      </c>
      <c r="D48" s="12">
        <v>1</v>
      </c>
      <c r="E48" s="42">
        <f t="shared" si="0"/>
        <v>200000</v>
      </c>
    </row>
    <row r="49" spans="1:5" ht="22.5" customHeight="1" x14ac:dyDescent="0.2">
      <c r="A49" s="13" t="s">
        <v>29</v>
      </c>
      <c r="B49" s="11" t="s">
        <v>19</v>
      </c>
      <c r="C49" s="42">
        <v>50000</v>
      </c>
      <c r="D49" s="12">
        <f>$D$2</f>
        <v>1</v>
      </c>
      <c r="E49" s="42">
        <f t="shared" si="0"/>
        <v>50000</v>
      </c>
    </row>
    <row r="50" spans="1:5" ht="22.5" customHeight="1" x14ac:dyDescent="0.2">
      <c r="A50" s="13" t="s">
        <v>30</v>
      </c>
      <c r="B50" s="11" t="s">
        <v>19</v>
      </c>
      <c r="C50" s="42">
        <v>44000</v>
      </c>
      <c r="D50" s="12">
        <f>$D$2</f>
        <v>1</v>
      </c>
      <c r="E50" s="42">
        <f t="shared" si="0"/>
        <v>44000</v>
      </c>
    </row>
    <row r="51" spans="1:5" ht="22.5" customHeight="1" x14ac:dyDescent="0.3">
      <c r="A51" s="16" t="s">
        <v>31</v>
      </c>
      <c r="B51" s="7"/>
      <c r="C51" s="43"/>
      <c r="D51" s="12"/>
      <c r="E51" s="42"/>
    </row>
    <row r="52" spans="1:5" ht="22.5" customHeight="1" x14ac:dyDescent="0.3">
      <c r="A52" s="9" t="s">
        <v>32</v>
      </c>
      <c r="B52" s="7"/>
      <c r="C52" s="43"/>
      <c r="D52" s="12"/>
      <c r="E52" s="42"/>
    </row>
    <row r="53" spans="1:5" ht="22.5" customHeight="1" x14ac:dyDescent="0.2">
      <c r="A53" s="13" t="s">
        <v>33</v>
      </c>
      <c r="B53" s="11" t="s">
        <v>34</v>
      </c>
      <c r="C53" s="42">
        <v>450000</v>
      </c>
      <c r="D53" s="12">
        <f>IF($D$2=1,4, IF($D$2=2,4,0))</f>
        <v>4</v>
      </c>
      <c r="E53" s="42">
        <f t="shared" si="0"/>
        <v>1800000</v>
      </c>
    </row>
    <row r="54" spans="1:5" ht="22.5" customHeight="1" x14ac:dyDescent="0.2">
      <c r="A54" s="13" t="s">
        <v>35</v>
      </c>
      <c r="B54" s="11" t="s">
        <v>34</v>
      </c>
      <c r="C54" s="42">
        <v>550000</v>
      </c>
      <c r="D54" s="12">
        <f>IF($D$2=3,4, 0)</f>
        <v>0</v>
      </c>
      <c r="E54" s="42">
        <f t="shared" si="0"/>
        <v>0</v>
      </c>
    </row>
    <row r="55" spans="1:5" ht="22.5" customHeight="1" x14ac:dyDescent="0.2">
      <c r="A55" s="10" t="s">
        <v>36</v>
      </c>
      <c r="B55" s="11" t="s">
        <v>34</v>
      </c>
      <c r="C55" s="42">
        <v>1100000</v>
      </c>
      <c r="D55" s="12">
        <f>IF((($D$2&gt;=4)*($D$2&lt;=11))=1,4,0)</f>
        <v>0</v>
      </c>
      <c r="E55" s="42">
        <f t="shared" si="0"/>
        <v>0</v>
      </c>
    </row>
    <row r="56" spans="1:5" ht="22.5" customHeight="1" x14ac:dyDescent="0.2">
      <c r="A56" s="13" t="s">
        <v>37</v>
      </c>
      <c r="B56" s="11" t="s">
        <v>34</v>
      </c>
      <c r="C56" s="42">
        <v>1300000</v>
      </c>
      <c r="D56" s="12"/>
      <c r="E56" s="42">
        <f t="shared" si="0"/>
        <v>0</v>
      </c>
    </row>
    <row r="57" spans="1:5" ht="22.5" customHeight="1" x14ac:dyDescent="0.2">
      <c r="A57" s="10" t="s">
        <v>95</v>
      </c>
      <c r="B57" s="11" t="s">
        <v>34</v>
      </c>
      <c r="C57" s="42">
        <f>250000+200000+200000</f>
        <v>650000</v>
      </c>
      <c r="D57" s="12">
        <f>IF((($D$2&gt;=10)*($D$2&lt;=11))=1,1,0)</f>
        <v>0</v>
      </c>
      <c r="E57" s="42">
        <f t="shared" si="0"/>
        <v>0</v>
      </c>
    </row>
    <row r="58" spans="1:5" ht="22.5" customHeight="1" x14ac:dyDescent="0.3">
      <c r="A58" s="9" t="s">
        <v>38</v>
      </c>
      <c r="B58" s="7"/>
      <c r="C58" s="43"/>
      <c r="D58" s="12"/>
      <c r="E58" s="42"/>
    </row>
    <row r="59" spans="1:5" ht="22.5" customHeight="1" x14ac:dyDescent="0.2">
      <c r="A59" s="13" t="s">
        <v>39</v>
      </c>
      <c r="B59" s="11" t="s">
        <v>5</v>
      </c>
      <c r="C59" s="42">
        <v>200000</v>
      </c>
      <c r="D59" s="12">
        <f>IF((($D$2&gt;=10)*($D$2&lt;=11))=1,2,1)</f>
        <v>1</v>
      </c>
      <c r="E59" s="42">
        <f t="shared" si="0"/>
        <v>200000</v>
      </c>
    </row>
    <row r="60" spans="1:5" ht="22.5" customHeight="1" x14ac:dyDescent="0.2">
      <c r="A60" s="10" t="s">
        <v>72</v>
      </c>
      <c r="B60" s="11" t="s">
        <v>5</v>
      </c>
      <c r="C60" s="42">
        <v>300000</v>
      </c>
      <c r="D60" s="12"/>
      <c r="E60" s="42">
        <f t="shared" si="0"/>
        <v>0</v>
      </c>
    </row>
    <row r="61" spans="1:5" ht="22.5" customHeight="1" x14ac:dyDescent="0.3">
      <c r="A61" s="9" t="s">
        <v>40</v>
      </c>
      <c r="B61" s="7"/>
      <c r="C61" s="43"/>
      <c r="D61" s="12"/>
      <c r="E61" s="42">
        <f t="shared" si="0"/>
        <v>0</v>
      </c>
    </row>
    <row r="62" spans="1:5" ht="22.5" customHeight="1" x14ac:dyDescent="0.2">
      <c r="A62" s="13" t="s">
        <v>41</v>
      </c>
      <c r="B62" s="11" t="s">
        <v>42</v>
      </c>
      <c r="C62" s="42">
        <v>200000</v>
      </c>
      <c r="D62" s="12">
        <f>ROUNDUP(D2/3,0)</f>
        <v>1</v>
      </c>
      <c r="E62" s="42">
        <f t="shared" si="0"/>
        <v>200000</v>
      </c>
    </row>
    <row r="63" spans="1:5" ht="22.5" customHeight="1" x14ac:dyDescent="0.3">
      <c r="A63" s="15" t="s">
        <v>75</v>
      </c>
      <c r="B63" s="7"/>
      <c r="C63" s="43"/>
      <c r="D63" s="12"/>
      <c r="E63" s="42">
        <f t="shared" si="0"/>
        <v>0</v>
      </c>
    </row>
    <row r="64" spans="1:5" ht="22.5" customHeight="1" x14ac:dyDescent="0.2">
      <c r="A64" s="10" t="s">
        <v>76</v>
      </c>
      <c r="B64" s="11" t="s">
        <v>42</v>
      </c>
      <c r="C64" s="42">
        <v>650000</v>
      </c>
      <c r="D64" s="12"/>
      <c r="E64" s="42">
        <f t="shared" si="0"/>
        <v>0</v>
      </c>
    </row>
    <row r="65" spans="1:5" ht="22.5" customHeight="1" x14ac:dyDescent="0.3">
      <c r="A65" s="16" t="s">
        <v>43</v>
      </c>
      <c r="B65" s="7"/>
      <c r="C65" s="43"/>
      <c r="D65" s="12"/>
      <c r="E65" s="42"/>
    </row>
    <row r="66" spans="1:5" ht="22.5" customHeight="1" x14ac:dyDescent="0.3">
      <c r="A66" s="9" t="s">
        <v>44</v>
      </c>
      <c r="B66" s="7"/>
      <c r="C66" s="43"/>
      <c r="D66" s="12"/>
      <c r="E66" s="42"/>
    </row>
    <row r="67" spans="1:5" ht="22.5" customHeight="1" x14ac:dyDescent="0.2">
      <c r="A67" s="13" t="s">
        <v>45</v>
      </c>
      <c r="B67" s="11" t="s">
        <v>34</v>
      </c>
      <c r="C67" s="42">
        <v>250000</v>
      </c>
      <c r="D67" s="12">
        <f>IF((($D$2&gt;=1)*($D$2&lt;=3))=1,4,0)</f>
        <v>4</v>
      </c>
      <c r="E67" s="42">
        <f t="shared" si="0"/>
        <v>1000000</v>
      </c>
    </row>
    <row r="68" spans="1:5" ht="22.5" customHeight="1" x14ac:dyDescent="0.2">
      <c r="A68" s="10" t="s">
        <v>73</v>
      </c>
      <c r="B68" s="11" t="s">
        <v>34</v>
      </c>
      <c r="C68" s="42">
        <v>250000</v>
      </c>
      <c r="D68" s="12">
        <f>IF((($D$2&gt;=4)*($D$2&lt;=11))=1,4,0)</f>
        <v>0</v>
      </c>
      <c r="E68" s="42">
        <f t="shared" si="0"/>
        <v>0</v>
      </c>
    </row>
    <row r="69" spans="1:5" ht="22.5" customHeight="1" x14ac:dyDescent="0.2">
      <c r="A69" s="10" t="s">
        <v>74</v>
      </c>
      <c r="B69" s="11" t="s">
        <v>34</v>
      </c>
      <c r="C69" s="42">
        <v>200000</v>
      </c>
      <c r="D69" s="12"/>
      <c r="E69" s="42">
        <f t="shared" si="0"/>
        <v>0</v>
      </c>
    </row>
    <row r="70" spans="1:5" ht="22.5" customHeight="1" x14ac:dyDescent="0.3">
      <c r="A70" s="16" t="s">
        <v>46</v>
      </c>
      <c r="B70" s="7"/>
      <c r="C70" s="43"/>
      <c r="D70" s="12"/>
      <c r="E70" s="42"/>
    </row>
    <row r="71" spans="1:5" ht="22.5" customHeight="1" x14ac:dyDescent="0.3">
      <c r="A71" s="9" t="s">
        <v>47</v>
      </c>
      <c r="B71" s="7"/>
      <c r="C71" s="43"/>
      <c r="D71" s="12"/>
      <c r="E71" s="42"/>
    </row>
    <row r="72" spans="1:5" ht="22.5" customHeight="1" x14ac:dyDescent="0.2">
      <c r="A72" s="13" t="s">
        <v>48</v>
      </c>
      <c r="B72" s="11" t="s">
        <v>86</v>
      </c>
      <c r="C72" s="42">
        <v>40000</v>
      </c>
      <c r="D72" s="12">
        <f>ROUNDUP(D2*C2*4/24,0)</f>
        <v>1</v>
      </c>
      <c r="E72" s="42">
        <f t="shared" ref="E72:E78" si="1">C72*D72</f>
        <v>40000</v>
      </c>
    </row>
    <row r="73" spans="1:5" ht="22.5" customHeight="1" x14ac:dyDescent="0.2">
      <c r="A73" s="13" t="s">
        <v>50</v>
      </c>
      <c r="B73" s="11" t="s">
        <v>49</v>
      </c>
      <c r="C73" s="42">
        <v>100000</v>
      </c>
      <c r="D73" s="12">
        <v>1</v>
      </c>
      <c r="E73" s="42">
        <f t="shared" si="1"/>
        <v>100000</v>
      </c>
    </row>
    <row r="74" spans="1:5" ht="22.5" customHeight="1" x14ac:dyDescent="0.2">
      <c r="A74" s="13" t="s">
        <v>51</v>
      </c>
      <c r="B74" s="11" t="s">
        <v>19</v>
      </c>
      <c r="C74" s="42">
        <v>60000</v>
      </c>
      <c r="D74" s="12">
        <f>D2</f>
        <v>1</v>
      </c>
      <c r="E74" s="42">
        <f t="shared" si="1"/>
        <v>60000</v>
      </c>
    </row>
    <row r="75" spans="1:5" ht="22.5" customHeight="1" x14ac:dyDescent="0.3">
      <c r="A75" s="9" t="s">
        <v>52</v>
      </c>
      <c r="B75" s="7"/>
      <c r="C75" s="14"/>
      <c r="D75" s="12"/>
      <c r="E75" s="42">
        <f t="shared" si="1"/>
        <v>0</v>
      </c>
    </row>
    <row r="76" spans="1:5" ht="22.5" customHeight="1" x14ac:dyDescent="0.2">
      <c r="A76" s="13" t="s">
        <v>53</v>
      </c>
      <c r="B76" s="11" t="s">
        <v>42</v>
      </c>
      <c r="C76" s="12">
        <v>2000000</v>
      </c>
      <c r="D76" s="12"/>
      <c r="E76" s="42">
        <f t="shared" si="1"/>
        <v>0</v>
      </c>
    </row>
    <row r="77" spans="1:5" ht="22.5" customHeight="1" x14ac:dyDescent="0.3">
      <c r="A77" s="9" t="s">
        <v>54</v>
      </c>
      <c r="B77" s="7"/>
      <c r="C77" s="14"/>
      <c r="D77" s="12"/>
      <c r="E77" s="42">
        <f t="shared" si="1"/>
        <v>0</v>
      </c>
    </row>
    <row r="78" spans="1:5" ht="22.5" customHeight="1" x14ac:dyDescent="0.2">
      <c r="A78" s="13" t="s">
        <v>55</v>
      </c>
      <c r="B78" s="11" t="s">
        <v>19</v>
      </c>
      <c r="C78" s="12">
        <v>16000</v>
      </c>
      <c r="D78" s="12"/>
      <c r="E78" s="42">
        <f t="shared" si="1"/>
        <v>0</v>
      </c>
    </row>
    <row r="79" spans="1:5" ht="22.5" customHeight="1" x14ac:dyDescent="0.2">
      <c r="A79" s="10" t="s">
        <v>61</v>
      </c>
      <c r="B79" s="11" t="s">
        <v>5</v>
      </c>
      <c r="C79" s="12">
        <v>100000</v>
      </c>
      <c r="D79" s="12"/>
      <c r="E79" s="42">
        <f>C79*D79</f>
        <v>0</v>
      </c>
    </row>
    <row r="80" spans="1:5" s="1" customFormat="1" ht="30" customHeight="1" x14ac:dyDescent="0.2">
      <c r="A80" s="18" t="s">
        <v>87</v>
      </c>
      <c r="B80" s="17"/>
      <c r="C80" s="5"/>
      <c r="D80" s="12"/>
      <c r="E80" s="45">
        <f>SUM(E7:E79)</f>
        <v>6831500</v>
      </c>
    </row>
    <row r="81" spans="1:5" ht="36" customHeight="1" x14ac:dyDescent="0.2">
      <c r="A81" s="18" t="s">
        <v>92</v>
      </c>
      <c r="B81" s="8"/>
      <c r="C81" s="8"/>
      <c r="D81" s="8"/>
      <c r="E81" s="45">
        <f>E80/D2</f>
        <v>6831500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FF1C-60C4-F040-87A5-2E3304FCE53A}">
  <sheetPr codeName="Sheet4">
    <pageSetUpPr fitToPage="1"/>
  </sheetPr>
  <dimension ref="A1:N81"/>
  <sheetViews>
    <sheetView topLeftCell="A48" zoomScale="90" zoomScaleNormal="70" workbookViewId="0">
      <selection activeCell="D73" sqref="D7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2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1</v>
      </c>
      <c r="E7" s="42">
        <f t="shared" ref="E7:E69" si="0">C7*D7</f>
        <v>337500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1</v>
      </c>
      <c r="E13" s="42">
        <f t="shared" si="0"/>
        <v>750000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1</v>
      </c>
      <c r="E21" s="42">
        <f>C21*D21</f>
        <v>260000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1</v>
      </c>
      <c r="E27" s="42">
        <f t="shared" si="0"/>
        <v>550000</v>
      </c>
    </row>
    <row r="28" spans="1:5" ht="22.5" customHeight="1" x14ac:dyDescent="0.2">
      <c r="A28" s="10" t="s">
        <v>71</v>
      </c>
      <c r="B28" s="11" t="s">
        <v>5</v>
      </c>
      <c r="C28" s="42">
        <v>710000</v>
      </c>
      <c r="D28" s="12"/>
      <c r="E28" s="42">
        <f t="shared" si="0"/>
        <v>0</v>
      </c>
    </row>
    <row r="29" spans="1:5" ht="22.5" customHeight="1" x14ac:dyDescent="0.3">
      <c r="A29" s="6" t="s">
        <v>17</v>
      </c>
      <c r="B29" s="7"/>
      <c r="C29" s="43"/>
      <c r="D29" s="12"/>
      <c r="E29" s="42"/>
    </row>
    <row r="30" spans="1:5" ht="22.5" customHeight="1" x14ac:dyDescent="0.3">
      <c r="A30" s="9" t="s">
        <v>18</v>
      </c>
      <c r="B30" s="7"/>
      <c r="C30" s="43"/>
      <c r="D30" s="12"/>
      <c r="E30" s="42"/>
    </row>
    <row r="31" spans="1:5" ht="22.5" customHeight="1" x14ac:dyDescent="0.2">
      <c r="A31" s="10" t="s">
        <v>60</v>
      </c>
      <c r="B31" s="11" t="s">
        <v>19</v>
      </c>
      <c r="C31" s="42">
        <v>75000</v>
      </c>
      <c r="D31" s="12">
        <f>D2</f>
        <v>2</v>
      </c>
      <c r="E31" s="42">
        <f>C31*D31</f>
        <v>150000</v>
      </c>
    </row>
    <row r="32" spans="1:5" ht="22.5" customHeight="1" x14ac:dyDescent="0.2">
      <c r="A32" s="13" t="s">
        <v>20</v>
      </c>
      <c r="B32" s="11" t="s">
        <v>19</v>
      </c>
      <c r="C32" s="42">
        <v>55000</v>
      </c>
      <c r="D32" s="12"/>
      <c r="E32" s="42">
        <f t="shared" si="0"/>
        <v>0</v>
      </c>
    </row>
    <row r="33" spans="1:5" ht="22.5" customHeight="1" x14ac:dyDescent="0.2">
      <c r="A33" s="10" t="s">
        <v>21</v>
      </c>
      <c r="B33" s="11" t="s">
        <v>19</v>
      </c>
      <c r="C33" s="42">
        <v>25000</v>
      </c>
      <c r="D33" s="12">
        <f>D2</f>
        <v>2</v>
      </c>
      <c r="E33" s="42">
        <f t="shared" si="0"/>
        <v>50000</v>
      </c>
    </row>
    <row r="34" spans="1:5" ht="22.5" customHeight="1" x14ac:dyDescent="0.2">
      <c r="A34" s="10" t="s">
        <v>79</v>
      </c>
      <c r="B34" s="11" t="s">
        <v>5</v>
      </c>
      <c r="C34" s="42">
        <v>250000</v>
      </c>
      <c r="D34" s="12">
        <v>1</v>
      </c>
      <c r="E34" s="42">
        <f t="shared" si="0"/>
        <v>250000</v>
      </c>
    </row>
    <row r="35" spans="1:5" ht="22.5" customHeight="1" x14ac:dyDescent="0.2">
      <c r="A35" s="13" t="s">
        <v>96</v>
      </c>
      <c r="B35" s="11" t="s">
        <v>19</v>
      </c>
      <c r="C35" s="42">
        <v>65000</v>
      </c>
      <c r="D35" s="12">
        <f>D2</f>
        <v>2</v>
      </c>
      <c r="E35" s="42">
        <f t="shared" si="0"/>
        <v>130000</v>
      </c>
    </row>
    <row r="36" spans="1:5" ht="22.5" customHeight="1" x14ac:dyDescent="0.2">
      <c r="A36" s="13" t="s">
        <v>97</v>
      </c>
      <c r="B36" s="11" t="s">
        <v>19</v>
      </c>
      <c r="C36" s="42">
        <v>65000</v>
      </c>
      <c r="D36" s="12">
        <f>D2</f>
        <v>2</v>
      </c>
      <c r="E36" s="42">
        <f t="shared" si="0"/>
        <v>130000</v>
      </c>
    </row>
    <row r="37" spans="1:5" ht="22.5" customHeight="1" x14ac:dyDescent="0.2">
      <c r="A37" s="10" t="s">
        <v>57</v>
      </c>
      <c r="B37" s="11" t="s">
        <v>19</v>
      </c>
      <c r="C37" s="42">
        <v>60000</v>
      </c>
      <c r="D37" s="12"/>
      <c r="E37" s="42">
        <f t="shared" si="0"/>
        <v>0</v>
      </c>
    </row>
    <row r="38" spans="1:5" ht="22.5" customHeight="1" x14ac:dyDescent="0.2">
      <c r="A38" s="10" t="s">
        <v>58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3" t="s">
        <v>22</v>
      </c>
      <c r="B39" s="11" t="s">
        <v>5</v>
      </c>
      <c r="C39" s="42">
        <v>35000</v>
      </c>
      <c r="D39" s="12"/>
      <c r="E39" s="42">
        <f t="shared" si="0"/>
        <v>0</v>
      </c>
    </row>
    <row r="40" spans="1:5" ht="22.5" customHeight="1" x14ac:dyDescent="0.3">
      <c r="A40" s="9" t="s">
        <v>23</v>
      </c>
      <c r="B40" s="7"/>
      <c r="C40" s="44"/>
      <c r="D40" s="12"/>
      <c r="E40" s="42"/>
    </row>
    <row r="41" spans="1:5" ht="22.5" customHeight="1" x14ac:dyDescent="0.2">
      <c r="A41" s="10" t="s">
        <v>59</v>
      </c>
      <c r="B41" s="11" t="s">
        <v>19</v>
      </c>
      <c r="C41" s="42">
        <v>160000</v>
      </c>
      <c r="D41" s="12">
        <f>D2</f>
        <v>2</v>
      </c>
      <c r="E41" s="42">
        <f t="shared" si="0"/>
        <v>320000</v>
      </c>
    </row>
    <row r="42" spans="1:5" ht="22.5" customHeight="1" x14ac:dyDescent="0.2">
      <c r="A42" s="13" t="s">
        <v>24</v>
      </c>
      <c r="B42" s="11" t="s">
        <v>19</v>
      </c>
      <c r="C42" s="42">
        <v>500000</v>
      </c>
      <c r="D42" s="12">
        <f>ROUNDUP(D2/4,0)</f>
        <v>1</v>
      </c>
      <c r="E42" s="42">
        <f t="shared" si="0"/>
        <v>500000</v>
      </c>
    </row>
    <row r="43" spans="1:5" ht="22.5" customHeight="1" x14ac:dyDescent="0.3">
      <c r="A43" s="15" t="s">
        <v>25</v>
      </c>
      <c r="B43" s="7"/>
      <c r="C43" s="44"/>
      <c r="D43" s="12"/>
      <c r="E43" s="42"/>
    </row>
    <row r="44" spans="1:5" ht="22.5" customHeight="1" x14ac:dyDescent="0.2">
      <c r="A44" s="13" t="s">
        <v>26</v>
      </c>
      <c r="B44" s="11" t="s">
        <v>19</v>
      </c>
      <c r="C44" s="42">
        <v>90000</v>
      </c>
      <c r="D44" s="12"/>
      <c r="E44" s="42">
        <f t="shared" si="0"/>
        <v>0</v>
      </c>
    </row>
    <row r="45" spans="1:5" ht="22.5" customHeight="1" x14ac:dyDescent="0.2">
      <c r="A45" s="10" t="s">
        <v>77</v>
      </c>
      <c r="B45" s="11" t="s">
        <v>5</v>
      </c>
      <c r="C45" s="42">
        <v>100000</v>
      </c>
      <c r="D45" s="12"/>
      <c r="E45" s="42">
        <f t="shared" si="0"/>
        <v>0</v>
      </c>
    </row>
    <row r="46" spans="1:5" ht="22.5" customHeight="1" x14ac:dyDescent="0.3">
      <c r="A46" s="9" t="s">
        <v>27</v>
      </c>
      <c r="B46" s="7"/>
      <c r="C46" s="44"/>
      <c r="D46" s="12"/>
      <c r="E46" s="42"/>
    </row>
    <row r="47" spans="1:5" ht="22.5" customHeight="1" x14ac:dyDescent="0.2">
      <c r="A47" s="13" t="s">
        <v>28</v>
      </c>
      <c r="B47" s="11" t="s">
        <v>19</v>
      </c>
      <c r="C47" s="42">
        <v>150000</v>
      </c>
      <c r="D47" s="12">
        <f>$D$2</f>
        <v>2</v>
      </c>
      <c r="E47" s="42">
        <f t="shared" si="0"/>
        <v>300000</v>
      </c>
    </row>
    <row r="48" spans="1:5" ht="22.5" customHeight="1" x14ac:dyDescent="0.2">
      <c r="A48" s="10" t="s">
        <v>78</v>
      </c>
      <c r="B48" s="11" t="s">
        <v>5</v>
      </c>
      <c r="C48" s="42">
        <v>200000</v>
      </c>
      <c r="D48" s="12">
        <v>1</v>
      </c>
      <c r="E48" s="42">
        <f t="shared" si="0"/>
        <v>200000</v>
      </c>
    </row>
    <row r="49" spans="1:5" ht="22.5" customHeight="1" x14ac:dyDescent="0.2">
      <c r="A49" s="13" t="s">
        <v>29</v>
      </c>
      <c r="B49" s="11" t="s">
        <v>19</v>
      </c>
      <c r="C49" s="42">
        <v>50000</v>
      </c>
      <c r="D49" s="12">
        <f>$D$2</f>
        <v>2</v>
      </c>
      <c r="E49" s="42">
        <f t="shared" si="0"/>
        <v>100000</v>
      </c>
    </row>
    <row r="50" spans="1:5" ht="22.5" customHeight="1" x14ac:dyDescent="0.2">
      <c r="A50" s="13" t="s">
        <v>30</v>
      </c>
      <c r="B50" s="11" t="s">
        <v>19</v>
      </c>
      <c r="C50" s="42">
        <v>40000</v>
      </c>
      <c r="D50" s="12">
        <f>$D$2</f>
        <v>2</v>
      </c>
      <c r="E50" s="42">
        <f t="shared" si="0"/>
        <v>80000</v>
      </c>
    </row>
    <row r="51" spans="1:5" ht="22.5" customHeight="1" x14ac:dyDescent="0.3">
      <c r="A51" s="16" t="s">
        <v>31</v>
      </c>
      <c r="B51" s="7"/>
      <c r="C51" s="43"/>
      <c r="D51" s="12"/>
      <c r="E51" s="42"/>
    </row>
    <row r="52" spans="1:5" ht="22.5" customHeight="1" x14ac:dyDescent="0.3">
      <c r="A52" s="9" t="s">
        <v>32</v>
      </c>
      <c r="B52" s="7"/>
      <c r="C52" s="43"/>
      <c r="D52" s="12"/>
      <c r="E52" s="42"/>
    </row>
    <row r="53" spans="1:5" ht="22.5" customHeight="1" x14ac:dyDescent="0.2">
      <c r="A53" s="13" t="s">
        <v>33</v>
      </c>
      <c r="B53" s="11" t="s">
        <v>34</v>
      </c>
      <c r="C53" s="42">
        <v>450000</v>
      </c>
      <c r="D53" s="12">
        <f>IF($D$2=1,4, IF($D$2=2,4,0))</f>
        <v>4</v>
      </c>
      <c r="E53" s="42">
        <f t="shared" si="0"/>
        <v>1800000</v>
      </c>
    </row>
    <row r="54" spans="1:5" ht="22.5" customHeight="1" x14ac:dyDescent="0.2">
      <c r="A54" s="13" t="s">
        <v>35</v>
      </c>
      <c r="B54" s="11" t="s">
        <v>34</v>
      </c>
      <c r="C54" s="42">
        <v>550000</v>
      </c>
      <c r="D54" s="12">
        <f>IF($D$2=3,4, 0)</f>
        <v>0</v>
      </c>
      <c r="E54" s="42">
        <f t="shared" si="0"/>
        <v>0</v>
      </c>
    </row>
    <row r="55" spans="1:5" ht="22.5" customHeight="1" x14ac:dyDescent="0.2">
      <c r="A55" s="10" t="s">
        <v>36</v>
      </c>
      <c r="B55" s="11" t="s">
        <v>34</v>
      </c>
      <c r="C55" s="42">
        <v>1100000</v>
      </c>
      <c r="D55" s="12">
        <f>IF((($D$2&gt;=4)*($D$2&lt;=11))=1,4,0)</f>
        <v>0</v>
      </c>
      <c r="E55" s="42">
        <f t="shared" si="0"/>
        <v>0</v>
      </c>
    </row>
    <row r="56" spans="1:5" ht="22.5" customHeight="1" x14ac:dyDescent="0.2">
      <c r="A56" s="13" t="s">
        <v>37</v>
      </c>
      <c r="B56" s="11" t="s">
        <v>34</v>
      </c>
      <c r="C56" s="42">
        <v>1300000</v>
      </c>
      <c r="D56" s="12"/>
      <c r="E56" s="42">
        <f t="shared" si="0"/>
        <v>0</v>
      </c>
    </row>
    <row r="57" spans="1:5" ht="22.5" customHeight="1" x14ac:dyDescent="0.2">
      <c r="A57" s="10" t="s">
        <v>95</v>
      </c>
      <c r="B57" s="11" t="s">
        <v>34</v>
      </c>
      <c r="C57" s="42">
        <f>250000+200000+200000</f>
        <v>650000</v>
      </c>
      <c r="D57" s="12">
        <f>IF((($D$2&gt;=10)*($D$2&lt;=11))=1,1,0)</f>
        <v>0</v>
      </c>
      <c r="E57" s="42">
        <f t="shared" si="0"/>
        <v>0</v>
      </c>
    </row>
    <row r="58" spans="1:5" ht="22.5" customHeight="1" x14ac:dyDescent="0.3">
      <c r="A58" s="9" t="s">
        <v>38</v>
      </c>
      <c r="B58" s="7"/>
      <c r="C58" s="43"/>
      <c r="D58" s="12"/>
      <c r="E58" s="42"/>
    </row>
    <row r="59" spans="1:5" ht="22.5" customHeight="1" x14ac:dyDescent="0.2">
      <c r="A59" s="13" t="s">
        <v>39</v>
      </c>
      <c r="B59" s="11" t="s">
        <v>5</v>
      </c>
      <c r="C59" s="42">
        <v>200000</v>
      </c>
      <c r="D59" s="12">
        <f>IF((($D$2&gt;=10)*($D$2&lt;=11))=1,2,1)</f>
        <v>1</v>
      </c>
      <c r="E59" s="42">
        <f t="shared" si="0"/>
        <v>200000</v>
      </c>
    </row>
    <row r="60" spans="1:5" ht="22.5" customHeight="1" x14ac:dyDescent="0.2">
      <c r="A60" s="10" t="s">
        <v>72</v>
      </c>
      <c r="B60" s="11" t="s">
        <v>5</v>
      </c>
      <c r="C60" s="42">
        <v>300000</v>
      </c>
      <c r="D60" s="12"/>
      <c r="E60" s="42">
        <f t="shared" si="0"/>
        <v>0</v>
      </c>
    </row>
    <row r="61" spans="1:5" ht="22.5" customHeight="1" x14ac:dyDescent="0.3">
      <c r="A61" s="9" t="s">
        <v>40</v>
      </c>
      <c r="B61" s="7"/>
      <c r="C61" s="43"/>
      <c r="D61" s="12"/>
      <c r="E61" s="42">
        <f t="shared" si="0"/>
        <v>0</v>
      </c>
    </row>
    <row r="62" spans="1:5" ht="22.5" customHeight="1" x14ac:dyDescent="0.2">
      <c r="A62" s="13" t="s">
        <v>41</v>
      </c>
      <c r="B62" s="11" t="s">
        <v>42</v>
      </c>
      <c r="C62" s="42">
        <v>200000</v>
      </c>
      <c r="D62" s="12">
        <f>ROUNDUP(D2/3,0)</f>
        <v>1</v>
      </c>
      <c r="E62" s="42">
        <f t="shared" si="0"/>
        <v>200000</v>
      </c>
    </row>
    <row r="63" spans="1:5" ht="22.5" customHeight="1" x14ac:dyDescent="0.3">
      <c r="A63" s="15" t="s">
        <v>75</v>
      </c>
      <c r="B63" s="7"/>
      <c r="C63" s="43"/>
      <c r="D63" s="12"/>
      <c r="E63" s="42">
        <f t="shared" si="0"/>
        <v>0</v>
      </c>
    </row>
    <row r="64" spans="1:5" ht="22.5" customHeight="1" x14ac:dyDescent="0.2">
      <c r="A64" s="10" t="s">
        <v>76</v>
      </c>
      <c r="B64" s="11" t="s">
        <v>42</v>
      </c>
      <c r="C64" s="42">
        <v>650000</v>
      </c>
      <c r="D64" s="12"/>
      <c r="E64" s="42">
        <f t="shared" si="0"/>
        <v>0</v>
      </c>
    </row>
    <row r="65" spans="1:5" ht="22.5" customHeight="1" x14ac:dyDescent="0.3">
      <c r="A65" s="16" t="s">
        <v>43</v>
      </c>
      <c r="B65" s="7"/>
      <c r="C65" s="43"/>
      <c r="D65" s="12"/>
      <c r="E65" s="42"/>
    </row>
    <row r="66" spans="1:5" ht="22.5" customHeight="1" x14ac:dyDescent="0.3">
      <c r="A66" s="9" t="s">
        <v>44</v>
      </c>
      <c r="B66" s="7"/>
      <c r="C66" s="43"/>
      <c r="D66" s="12"/>
      <c r="E66" s="42"/>
    </row>
    <row r="67" spans="1:5" ht="22.5" customHeight="1" x14ac:dyDescent="0.2">
      <c r="A67" s="13" t="s">
        <v>45</v>
      </c>
      <c r="B67" s="11" t="s">
        <v>34</v>
      </c>
      <c r="C67" s="42">
        <v>250000</v>
      </c>
      <c r="D67" s="12">
        <f>IF((($D$2&gt;=1)*($D$2&lt;=3))=1,4,0)</f>
        <v>4</v>
      </c>
      <c r="E67" s="42">
        <f t="shared" si="0"/>
        <v>1000000</v>
      </c>
    </row>
    <row r="68" spans="1:5" ht="22.5" customHeight="1" x14ac:dyDescent="0.2">
      <c r="A68" s="10" t="s">
        <v>73</v>
      </c>
      <c r="B68" s="11" t="s">
        <v>34</v>
      </c>
      <c r="C68" s="42">
        <v>250000</v>
      </c>
      <c r="D68" s="12">
        <f>IF((($D$2&gt;=4)*($D$2&lt;=11))=1,4,0)</f>
        <v>0</v>
      </c>
      <c r="E68" s="42">
        <f t="shared" si="0"/>
        <v>0</v>
      </c>
    </row>
    <row r="69" spans="1:5" ht="22.5" customHeight="1" x14ac:dyDescent="0.2">
      <c r="A69" s="10" t="s">
        <v>74</v>
      </c>
      <c r="B69" s="11" t="s">
        <v>34</v>
      </c>
      <c r="C69" s="42">
        <v>200000</v>
      </c>
      <c r="D69" s="12"/>
      <c r="E69" s="42">
        <f t="shared" si="0"/>
        <v>0</v>
      </c>
    </row>
    <row r="70" spans="1:5" ht="22.5" customHeight="1" x14ac:dyDescent="0.3">
      <c r="A70" s="16" t="s">
        <v>46</v>
      </c>
      <c r="B70" s="7"/>
      <c r="C70" s="43"/>
      <c r="D70" s="12"/>
      <c r="E70" s="42"/>
    </row>
    <row r="71" spans="1:5" ht="22.5" customHeight="1" x14ac:dyDescent="0.3">
      <c r="A71" s="9" t="s">
        <v>47</v>
      </c>
      <c r="B71" s="7"/>
      <c r="C71" s="43"/>
      <c r="D71" s="12"/>
      <c r="E71" s="42"/>
    </row>
    <row r="72" spans="1:5" ht="22.5" customHeight="1" x14ac:dyDescent="0.2">
      <c r="A72" s="13" t="s">
        <v>48</v>
      </c>
      <c r="B72" s="11" t="s">
        <v>86</v>
      </c>
      <c r="C72" s="42">
        <v>40000</v>
      </c>
      <c r="D72" s="12">
        <f>ROUNDUP(D2*4*4/24,0)</f>
        <v>2</v>
      </c>
      <c r="E72" s="42">
        <f t="shared" ref="E72:E78" si="1">C72*D72</f>
        <v>80000</v>
      </c>
    </row>
    <row r="73" spans="1:5" ht="22.5" customHeight="1" x14ac:dyDescent="0.2">
      <c r="A73" s="13" t="s">
        <v>50</v>
      </c>
      <c r="B73" s="11" t="s">
        <v>49</v>
      </c>
      <c r="C73" s="42">
        <v>100000</v>
      </c>
      <c r="D73" s="12">
        <v>1</v>
      </c>
      <c r="E73" s="42">
        <f t="shared" si="1"/>
        <v>100000</v>
      </c>
    </row>
    <row r="74" spans="1:5" ht="22.5" customHeight="1" x14ac:dyDescent="0.2">
      <c r="A74" s="13" t="s">
        <v>51</v>
      </c>
      <c r="B74" s="11" t="s">
        <v>19</v>
      </c>
      <c r="C74" s="42">
        <v>60000</v>
      </c>
      <c r="D74" s="12">
        <f>D2</f>
        <v>2</v>
      </c>
      <c r="E74" s="42">
        <f t="shared" si="1"/>
        <v>120000</v>
      </c>
    </row>
    <row r="75" spans="1:5" ht="22.5" customHeight="1" x14ac:dyDescent="0.3">
      <c r="A75" s="9" t="s">
        <v>52</v>
      </c>
      <c r="B75" s="7"/>
      <c r="C75" s="14"/>
      <c r="D75" s="12"/>
      <c r="E75" s="42">
        <f t="shared" si="1"/>
        <v>0</v>
      </c>
    </row>
    <row r="76" spans="1:5" ht="22.5" customHeight="1" x14ac:dyDescent="0.2">
      <c r="A76" s="13" t="s">
        <v>53</v>
      </c>
      <c r="B76" s="11" t="s">
        <v>42</v>
      </c>
      <c r="C76" s="12">
        <v>2000000</v>
      </c>
      <c r="D76" s="12"/>
      <c r="E76" s="42">
        <f t="shared" si="1"/>
        <v>0</v>
      </c>
    </row>
    <row r="77" spans="1:5" ht="22.5" customHeight="1" x14ac:dyDescent="0.3">
      <c r="A77" s="9" t="s">
        <v>54</v>
      </c>
      <c r="B77" s="7"/>
      <c r="C77" s="14"/>
      <c r="D77" s="12"/>
      <c r="E77" s="42">
        <f t="shared" si="1"/>
        <v>0</v>
      </c>
    </row>
    <row r="78" spans="1:5" ht="22.5" customHeight="1" x14ac:dyDescent="0.2">
      <c r="A78" s="13" t="s">
        <v>55</v>
      </c>
      <c r="B78" s="11" t="s">
        <v>19</v>
      </c>
      <c r="C78" s="12">
        <v>16000</v>
      </c>
      <c r="D78" s="12"/>
      <c r="E78" s="42">
        <f t="shared" si="1"/>
        <v>0</v>
      </c>
    </row>
    <row r="79" spans="1:5" ht="22.5" customHeight="1" x14ac:dyDescent="0.2">
      <c r="A79" s="10" t="s">
        <v>61</v>
      </c>
      <c r="B79" s="11" t="s">
        <v>5</v>
      </c>
      <c r="C79" s="12">
        <v>100000</v>
      </c>
      <c r="D79" s="12"/>
      <c r="E79" s="42">
        <f>C79*D79</f>
        <v>0</v>
      </c>
    </row>
    <row r="80" spans="1:5" s="1" customFormat="1" ht="30" customHeight="1" x14ac:dyDescent="0.2">
      <c r="A80" s="18" t="s">
        <v>87</v>
      </c>
      <c r="B80" s="17"/>
      <c r="C80" s="5"/>
      <c r="D80" s="12"/>
      <c r="E80" s="45">
        <f>SUM(E7:E79)</f>
        <v>7607500</v>
      </c>
    </row>
    <row r="81" spans="1:5" ht="36" customHeight="1" x14ac:dyDescent="0.2">
      <c r="A81" s="18" t="s">
        <v>92</v>
      </c>
      <c r="B81" s="8"/>
      <c r="C81" s="8"/>
      <c r="D81" s="8"/>
      <c r="E81" s="45">
        <f>E80/D2</f>
        <v>3803750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DA75-0CEF-8240-9A5A-CD0280A98353}">
  <sheetPr codeName="Sheet5">
    <pageSetUpPr fitToPage="1"/>
  </sheetPr>
  <dimension ref="A1:N82"/>
  <sheetViews>
    <sheetView topLeftCell="A49" zoomScale="90" zoomScaleNormal="70" workbookViewId="0">
      <selection activeCell="E54" sqref="E54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3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/>
      <c r="E7" s="42">
        <f t="shared" ref="E7:E70" si="0">C7*D7</f>
        <v>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>
        <v>1</v>
      </c>
      <c r="E11" s="42">
        <f t="shared" si="0"/>
        <v>562500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/>
      <c r="E13" s="42">
        <f t="shared" si="0"/>
        <v>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>
        <v>1</v>
      </c>
      <c r="E14" s="42">
        <f t="shared" si="0"/>
        <v>950000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/>
      <c r="E21" s="42">
        <f>C21*D21</f>
        <v>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>
        <v>1</v>
      </c>
      <c r="E25" s="42">
        <f t="shared" si="0"/>
        <v>440000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v>1</v>
      </c>
      <c r="E27" s="42">
        <f t="shared" si="0"/>
        <v>550000</v>
      </c>
    </row>
    <row r="28" spans="1:5" ht="22.5" customHeight="1" x14ac:dyDescent="0.2">
      <c r="A28" s="10" t="s">
        <v>98</v>
      </c>
      <c r="B28" s="11" t="s">
        <v>5</v>
      </c>
      <c r="C28" s="42">
        <v>250000</v>
      </c>
      <c r="D28" s="12">
        <v>1</v>
      </c>
      <c r="E28" s="42">
        <f t="shared" ref="E28" si="1">C28*D28</f>
        <v>250000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3</v>
      </c>
      <c r="E32" s="42">
        <f>C32*D32</f>
        <v>225000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3</v>
      </c>
      <c r="E34" s="42">
        <f t="shared" si="0"/>
        <v>75000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3</v>
      </c>
      <c r="E36" s="42">
        <f t="shared" si="0"/>
        <v>195000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3</v>
      </c>
      <c r="E37" s="42">
        <f t="shared" si="0"/>
        <v>195000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3</v>
      </c>
      <c r="E42" s="42">
        <f t="shared" si="0"/>
        <v>480000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1</v>
      </c>
      <c r="E43" s="42">
        <f t="shared" si="0"/>
        <v>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3</v>
      </c>
      <c r="E48" s="42">
        <f t="shared" si="0"/>
        <v>450000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3</v>
      </c>
      <c r="E50" s="42">
        <f t="shared" si="0"/>
        <v>150000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3</v>
      </c>
      <c r="E51" s="42">
        <f t="shared" si="0"/>
        <v>120000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v>4</v>
      </c>
      <c r="E54" s="42">
        <f t="shared" si="0"/>
        <v>1800000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/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0</v>
      </c>
      <c r="E56" s="42">
        <f t="shared" si="0"/>
        <v>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1</v>
      </c>
      <c r="E63" s="42">
        <f t="shared" si="0"/>
        <v>200000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4</v>
      </c>
      <c r="E68" s="42">
        <f t="shared" si="0"/>
        <v>1000000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0</v>
      </c>
      <c r="E69" s="42">
        <f t="shared" si="0"/>
        <v>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ROUNDUP(D2*C2*4/24,0)</f>
        <v>3</v>
      </c>
      <c r="E73" s="42">
        <f t="shared" ref="E73:E79" si="2">C73*D73</f>
        <v>120000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2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3</v>
      </c>
      <c r="E75" s="42">
        <f t="shared" si="2"/>
        <v>180000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2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2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2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2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9192500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3064166.6666666665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FFC8-74E7-F246-A835-C801641D68DD}">
  <sheetPr codeName="Sheet6">
    <pageSetUpPr fitToPage="1"/>
  </sheetPr>
  <dimension ref="A1:N82"/>
  <sheetViews>
    <sheetView topLeftCell="A51" zoomScale="90" zoomScaleNormal="70" workbookViewId="0">
      <selection activeCell="D3" sqref="D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4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2</v>
      </c>
      <c r="E7" s="42">
        <f t="shared" ref="E7:E70" si="0">C7*D7</f>
        <v>675000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2</v>
      </c>
      <c r="E13" s="42">
        <f t="shared" si="0"/>
        <v>1500000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2</v>
      </c>
      <c r="E21" s="42">
        <f>C21*D21</f>
        <v>520000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2</v>
      </c>
      <c r="E27" s="42">
        <f t="shared" si="0"/>
        <v>1100000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/>
      <c r="E28" s="42">
        <f t="shared" si="0"/>
        <v>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4</v>
      </c>
      <c r="E32" s="42">
        <f>C32*D32</f>
        <v>300000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4</v>
      </c>
      <c r="E34" s="42">
        <f t="shared" si="0"/>
        <v>100000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4</v>
      </c>
      <c r="E36" s="42">
        <f t="shared" si="0"/>
        <v>260000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4</v>
      </c>
      <c r="E37" s="42">
        <f t="shared" si="0"/>
        <v>260000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4</v>
      </c>
      <c r="E42" s="42">
        <f t="shared" si="0"/>
        <v>640000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1</v>
      </c>
      <c r="E43" s="42">
        <f t="shared" si="0"/>
        <v>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4</v>
      </c>
      <c r="E48" s="42">
        <f t="shared" si="0"/>
        <v>600000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4</v>
      </c>
      <c r="E50" s="42">
        <f t="shared" si="0"/>
        <v>200000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4</v>
      </c>
      <c r="E51" s="42">
        <f t="shared" si="0"/>
        <v>160000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2</v>
      </c>
      <c r="E63" s="42">
        <f t="shared" si="0"/>
        <v>400000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ROUNDUP(D2*C2*4/24,0)</f>
        <v>4</v>
      </c>
      <c r="E73" s="42">
        <f t="shared" ref="E73:E79" si="1">C73*D73</f>
        <v>160000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4</v>
      </c>
      <c r="E75" s="42">
        <f t="shared" si="1"/>
        <v>240000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13765000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3441250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106A-3F55-A040-A223-67E302BCECC4}">
  <sheetPr codeName="Sheet7">
    <pageSetUpPr fitToPage="1"/>
  </sheetPr>
  <dimension ref="A1:N82"/>
  <sheetViews>
    <sheetView topLeftCell="A64" zoomScale="90" zoomScaleNormal="70" workbookViewId="0">
      <selection activeCell="D74" sqref="D74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5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v>1</v>
      </c>
      <c r="E7" s="42">
        <f t="shared" ref="E7:E70" si="0">C7*D7</f>
        <v>337500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>
        <v>1</v>
      </c>
      <c r="E11" s="42">
        <f t="shared" si="0"/>
        <v>562500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v>1</v>
      </c>
      <c r="E13" s="42">
        <f t="shared" si="0"/>
        <v>750000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>
        <v>1</v>
      </c>
      <c r="E14" s="42">
        <f t="shared" si="0"/>
        <v>950000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v>1</v>
      </c>
      <c r="E21" s="42">
        <f>C21*D21</f>
        <v>260000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>
        <v>1</v>
      </c>
      <c r="E25" s="42">
        <f t="shared" si="0"/>
        <v>440000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v>2</v>
      </c>
      <c r="E27" s="42">
        <f t="shared" si="0"/>
        <v>1100000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>
        <v>1</v>
      </c>
      <c r="E28" s="42">
        <f t="shared" si="0"/>
        <v>350000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5</v>
      </c>
      <c r="E32" s="42">
        <f>C32*D32</f>
        <v>375000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5</v>
      </c>
      <c r="E34" s="42">
        <f t="shared" si="0"/>
        <v>125000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5</v>
      </c>
      <c r="E36" s="42">
        <f t="shared" si="0"/>
        <v>325000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5</v>
      </c>
      <c r="E37" s="42">
        <f t="shared" si="0"/>
        <v>325000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5</v>
      </c>
      <c r="E42" s="42">
        <f t="shared" si="0"/>
        <v>800000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2</v>
      </c>
      <c r="E43" s="42">
        <f t="shared" si="0"/>
        <v>1000000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5</v>
      </c>
      <c r="E48" s="42">
        <f t="shared" si="0"/>
        <v>750000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5</v>
      </c>
      <c r="E50" s="42">
        <f t="shared" si="0"/>
        <v>250000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5</v>
      </c>
      <c r="E51" s="42">
        <f t="shared" si="0"/>
        <v>200000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2</v>
      </c>
      <c r="E63" s="42">
        <f t="shared" si="0"/>
        <v>400000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4</v>
      </c>
      <c r="E73" s="42">
        <f t="shared" ref="E73:E79" si="1">C73*D73</f>
        <v>160000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5</v>
      </c>
      <c r="E75" s="42">
        <f t="shared" si="1"/>
        <v>300000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15910000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3182000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47CE-6673-1B4D-9851-447FAC4B2BF4}">
  <sheetPr codeName="Sheet8">
    <pageSetUpPr fitToPage="1"/>
  </sheetPr>
  <dimension ref="A1:N82"/>
  <sheetViews>
    <sheetView topLeftCell="A53" zoomScale="90" zoomScaleNormal="70" workbookViewId="0">
      <selection activeCell="A21" sqref="A21:E21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6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3</v>
      </c>
      <c r="E7" s="42">
        <f t="shared" ref="E7:E70" si="0">C7*D7</f>
        <v>1012500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3</v>
      </c>
      <c r="E13" s="42">
        <f t="shared" si="0"/>
        <v>2250000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3</v>
      </c>
      <c r="E21" s="42">
        <f>C21*D21</f>
        <v>780000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3</v>
      </c>
      <c r="E27" s="42">
        <f t="shared" si="0"/>
        <v>1650000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/>
      <c r="E28" s="42">
        <f t="shared" si="0"/>
        <v>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6</v>
      </c>
      <c r="E32" s="42">
        <f>C32*D32</f>
        <v>450000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6</v>
      </c>
      <c r="E34" s="42">
        <f t="shared" si="0"/>
        <v>150000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6</v>
      </c>
      <c r="E36" s="42">
        <f t="shared" si="0"/>
        <v>390000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6</v>
      </c>
      <c r="E37" s="42">
        <f t="shared" si="0"/>
        <v>390000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6</v>
      </c>
      <c r="E42" s="42">
        <f t="shared" si="0"/>
        <v>960000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2</v>
      </c>
      <c r="E43" s="42">
        <f t="shared" si="0"/>
        <v>1000000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6</v>
      </c>
      <c r="E48" s="42">
        <f t="shared" si="0"/>
        <v>900000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6</v>
      </c>
      <c r="E50" s="42">
        <f t="shared" si="0"/>
        <v>300000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6</v>
      </c>
      <c r="E51" s="42">
        <f t="shared" si="0"/>
        <v>240000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2</v>
      </c>
      <c r="E63" s="42">
        <f t="shared" si="0"/>
        <v>400000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4</v>
      </c>
      <c r="E73" s="42">
        <f t="shared" ref="E73:E79" si="1">C73*D73</f>
        <v>160000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6</v>
      </c>
      <c r="E75" s="42">
        <f t="shared" si="1"/>
        <v>360000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17542500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2923750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E592-0B04-5042-B5D1-B23DC9D4DC11}">
  <sheetPr codeName="Sheet9">
    <pageSetUpPr fitToPage="1"/>
  </sheetPr>
  <dimension ref="A1:N82"/>
  <sheetViews>
    <sheetView topLeftCell="A54" zoomScale="90" zoomScaleNormal="70" workbookViewId="0">
      <selection activeCell="D29" sqref="D2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7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v>2</v>
      </c>
      <c r="E7" s="42">
        <f t="shared" ref="E7:E70" si="0">C7*D7</f>
        <v>675000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>
        <v>1</v>
      </c>
      <c r="E11" s="42">
        <f t="shared" si="0"/>
        <v>562500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v>2</v>
      </c>
      <c r="E13" s="42">
        <f t="shared" si="0"/>
        <v>1500000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>
        <v>1</v>
      </c>
      <c r="E14" s="42">
        <f t="shared" si="0"/>
        <v>950000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v>2</v>
      </c>
      <c r="E21" s="42">
        <f>C21*D21</f>
        <v>520000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>
        <v>1</v>
      </c>
      <c r="E25" s="42">
        <f t="shared" si="0"/>
        <v>440000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v>3</v>
      </c>
      <c r="E27" s="42">
        <f t="shared" si="0"/>
        <v>1650000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>
        <v>1</v>
      </c>
      <c r="E28" s="42">
        <f t="shared" si="0"/>
        <v>350000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7</v>
      </c>
      <c r="E32" s="42">
        <f>C32*D32</f>
        <v>525000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7</v>
      </c>
      <c r="E34" s="42">
        <f t="shared" si="0"/>
        <v>175000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7</v>
      </c>
      <c r="E36" s="42">
        <f t="shared" si="0"/>
        <v>455000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7</v>
      </c>
      <c r="E37" s="42">
        <f t="shared" si="0"/>
        <v>455000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7</v>
      </c>
      <c r="E42" s="42">
        <f t="shared" si="0"/>
        <v>1120000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2</v>
      </c>
      <c r="E43" s="42">
        <f t="shared" si="0"/>
        <v>1000000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7</v>
      </c>
      <c r="E48" s="42">
        <f t="shared" si="0"/>
        <v>1050000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7</v>
      </c>
      <c r="E50" s="42">
        <f t="shared" si="0"/>
        <v>350000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7</v>
      </c>
      <c r="E51" s="42">
        <f t="shared" si="0"/>
        <v>280000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3</v>
      </c>
      <c r="E63" s="42">
        <f t="shared" si="0"/>
        <v>600000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5</v>
      </c>
      <c r="E73" s="42">
        <f t="shared" ref="E73:E79" si="1">C73*D73</f>
        <v>200000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7</v>
      </c>
      <c r="E75" s="42">
        <f t="shared" si="1"/>
        <v>420000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19427500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2775357.1428571427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4CAE-52D7-8546-ACFC-380258A638EE}">
  <sheetPr codeName="Sheet10">
    <pageSetUpPr fitToPage="1"/>
  </sheetPr>
  <dimension ref="A1:N82"/>
  <sheetViews>
    <sheetView topLeftCell="A47" zoomScale="90" zoomScaleNormal="70" workbookViewId="0">
      <selection activeCell="D3" sqref="D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8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4</v>
      </c>
      <c r="E7" s="42">
        <f t="shared" ref="E7:E70" si="0">C7*D7</f>
        <v>1350000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4</v>
      </c>
      <c r="E13" s="42">
        <f t="shared" si="0"/>
        <v>3000000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4</v>
      </c>
      <c r="E21" s="42">
        <f>C21*D21</f>
        <v>1040000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4</v>
      </c>
      <c r="E27" s="42">
        <f t="shared" si="0"/>
        <v>2200000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/>
      <c r="E28" s="42">
        <f t="shared" si="0"/>
        <v>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8</v>
      </c>
      <c r="E32" s="42">
        <f>C32*D32</f>
        <v>600000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8</v>
      </c>
      <c r="E34" s="42">
        <f t="shared" si="0"/>
        <v>200000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8</v>
      </c>
      <c r="E36" s="42">
        <f t="shared" si="0"/>
        <v>520000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8</v>
      </c>
      <c r="E37" s="42">
        <f t="shared" si="0"/>
        <v>520000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8</v>
      </c>
      <c r="E42" s="42">
        <f t="shared" si="0"/>
        <v>1280000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2</v>
      </c>
      <c r="E43" s="42">
        <f t="shared" si="0"/>
        <v>1000000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8</v>
      </c>
      <c r="E48" s="42">
        <f t="shared" si="0"/>
        <v>1200000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8</v>
      </c>
      <c r="E50" s="42">
        <f t="shared" si="0"/>
        <v>400000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8</v>
      </c>
      <c r="E51" s="42">
        <f t="shared" si="0"/>
        <v>320000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3</v>
      </c>
      <c r="E63" s="42">
        <f t="shared" si="0"/>
        <v>600000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6</v>
      </c>
      <c r="E73" s="42">
        <f t="shared" ref="E73:E79" si="1">C73*D73</f>
        <v>240000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8</v>
      </c>
      <c r="E75" s="42">
        <f t="shared" si="1"/>
        <v>480000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21100000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2637500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A38A-E7BD-644B-BCE0-1E9B4AE7181D}">
  <sheetPr codeName="Sheet11">
    <pageSetUpPr fitToPage="1"/>
  </sheetPr>
  <dimension ref="A1:N82"/>
  <sheetViews>
    <sheetView topLeftCell="A52" zoomScale="90" zoomScaleNormal="70" workbookViewId="0">
      <selection activeCell="D29" sqref="D2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9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v>3</v>
      </c>
      <c r="E7" s="42">
        <f t="shared" ref="E7:E70" si="0">C7*D7</f>
        <v>1012500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>
        <v>1</v>
      </c>
      <c r="E11" s="42">
        <f t="shared" si="0"/>
        <v>562500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v>3</v>
      </c>
      <c r="E13" s="42">
        <f t="shared" si="0"/>
        <v>2250000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>
        <v>1</v>
      </c>
      <c r="E14" s="42">
        <f t="shared" si="0"/>
        <v>950000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v>3</v>
      </c>
      <c r="E21" s="42">
        <f>C21*D21</f>
        <v>780000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>
        <v>1</v>
      </c>
      <c r="E25" s="42">
        <f t="shared" si="0"/>
        <v>440000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v>4</v>
      </c>
      <c r="E27" s="42">
        <f t="shared" si="0"/>
        <v>2200000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>
        <v>1</v>
      </c>
      <c r="E28" s="42">
        <f t="shared" si="0"/>
        <v>350000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9</v>
      </c>
      <c r="E32" s="42">
        <f>C32*D32</f>
        <v>675000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9</v>
      </c>
      <c r="E34" s="42">
        <f t="shared" si="0"/>
        <v>225000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9</v>
      </c>
      <c r="E36" s="42">
        <f t="shared" si="0"/>
        <v>585000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9</v>
      </c>
      <c r="E37" s="42">
        <f t="shared" si="0"/>
        <v>585000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9</v>
      </c>
      <c r="E42" s="42">
        <f t="shared" si="0"/>
        <v>1440000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3</v>
      </c>
      <c r="E43" s="42">
        <f t="shared" si="0"/>
        <v>1500000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9</v>
      </c>
      <c r="E48" s="42">
        <f t="shared" si="0"/>
        <v>1350000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9</v>
      </c>
      <c r="E50" s="42">
        <f t="shared" si="0"/>
        <v>450000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9</v>
      </c>
      <c r="E51" s="42">
        <f t="shared" si="0"/>
        <v>360000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f>IF((($D$2&gt;=10)*($D$2&lt;=11))=1,1,0)</f>
        <v>0</v>
      </c>
      <c r="E58" s="42">
        <f t="shared" si="0"/>
        <v>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1</v>
      </c>
      <c r="E60" s="42">
        <f t="shared" si="0"/>
        <v>200000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3</v>
      </c>
      <c r="E63" s="42">
        <f t="shared" si="0"/>
        <v>600000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6</v>
      </c>
      <c r="E73" s="42">
        <f t="shared" ref="E73:E79" si="1">C73*D73</f>
        <v>240000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9</v>
      </c>
      <c r="E75" s="42">
        <f t="shared" si="1"/>
        <v>540000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23245000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2582777.777777778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C538-B8F2-EB45-9CFB-CF454478708D}">
  <sheetPr codeName="Sheet12">
    <pageSetUpPr fitToPage="1"/>
  </sheetPr>
  <dimension ref="A1:N82"/>
  <sheetViews>
    <sheetView topLeftCell="A57" zoomScale="90" zoomScaleNormal="70" workbookViewId="0">
      <selection activeCell="D59" sqref="D5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10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f>ROUNDUP($D$2/2,0)</f>
        <v>5</v>
      </c>
      <c r="E7" s="42">
        <f t="shared" ref="E7:E70" si="0">C7*D7</f>
        <v>1687500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/>
      <c r="E11" s="42">
        <f t="shared" si="0"/>
        <v>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f>ROUNDUP($D$2/2,0)</f>
        <v>5</v>
      </c>
      <c r="E13" s="42">
        <f t="shared" si="0"/>
        <v>3750000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/>
      <c r="E14" s="42">
        <f t="shared" si="0"/>
        <v>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f>ROUNDUP($D$2/2,0)</f>
        <v>5</v>
      </c>
      <c r="E21" s="42">
        <f>C21*D21</f>
        <v>1300000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/>
      <c r="E25" s="42">
        <f t="shared" si="0"/>
        <v>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f>ROUNDUP($D$2/2,0)</f>
        <v>5</v>
      </c>
      <c r="E27" s="42">
        <f t="shared" si="0"/>
        <v>2750000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/>
      <c r="E28" s="42">
        <f t="shared" si="0"/>
        <v>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10</v>
      </c>
      <c r="E32" s="42">
        <f>C32*D32</f>
        <v>750000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10</v>
      </c>
      <c r="E34" s="42">
        <f t="shared" si="0"/>
        <v>250000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10</v>
      </c>
      <c r="E36" s="42">
        <f t="shared" si="0"/>
        <v>650000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10</v>
      </c>
      <c r="E37" s="42">
        <f t="shared" si="0"/>
        <v>650000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10</v>
      </c>
      <c r="E42" s="42">
        <f t="shared" si="0"/>
        <v>1600000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3</v>
      </c>
      <c r="E43" s="42">
        <f t="shared" si="0"/>
        <v>1500000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10</v>
      </c>
      <c r="E48" s="42">
        <f t="shared" si="0"/>
        <v>1500000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10</v>
      </c>
      <c r="E50" s="42">
        <f t="shared" si="0"/>
        <v>500000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10</v>
      </c>
      <c r="E51" s="42">
        <f t="shared" si="0"/>
        <v>400000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v>4</v>
      </c>
      <c r="E58" s="42">
        <f t="shared" si="0"/>
        <v>2600000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2</v>
      </c>
      <c r="E60" s="42">
        <f t="shared" si="0"/>
        <v>400000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4</v>
      </c>
      <c r="E63" s="42">
        <f t="shared" si="0"/>
        <v>800000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7</v>
      </c>
      <c r="E73" s="42">
        <f t="shared" ref="E73:E79" si="1">C73*D73</f>
        <v>280000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10</v>
      </c>
      <c r="E75" s="42">
        <f t="shared" si="1"/>
        <v>600000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27917500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2791750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11C5-B5BA-E647-AC2A-CEE31A72EB41}">
  <sheetPr codeName="Sheet13">
    <pageSetUpPr fitToPage="1"/>
  </sheetPr>
  <dimension ref="A1:N82"/>
  <sheetViews>
    <sheetView topLeftCell="A51" zoomScale="90" zoomScaleNormal="70" workbookViewId="0">
      <selection activeCell="D59" sqref="D59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80</v>
      </c>
      <c r="B1" s="2" t="s">
        <v>81</v>
      </c>
      <c r="C1" s="2" t="s">
        <v>82</v>
      </c>
      <c r="D1" s="2" t="s">
        <v>83</v>
      </c>
    </row>
    <row r="2" spans="1:14" ht="27.75" customHeight="1" x14ac:dyDescent="0.2">
      <c r="A2" s="3" t="s">
        <v>99</v>
      </c>
      <c r="B2" s="3">
        <v>56</v>
      </c>
      <c r="C2" s="3">
        <v>5</v>
      </c>
      <c r="D2" s="46">
        <v>11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84</v>
      </c>
      <c r="E4" s="5" t="s">
        <v>85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customHeight="1" x14ac:dyDescent="0.2">
      <c r="A7" s="10" t="s">
        <v>66</v>
      </c>
      <c r="B7" s="11" t="s">
        <v>5</v>
      </c>
      <c r="C7" s="42">
        <v>337500</v>
      </c>
      <c r="D7" s="12">
        <v>4</v>
      </c>
      <c r="E7" s="42">
        <f t="shared" ref="E7:E70" si="0">C7*D7</f>
        <v>1350000</v>
      </c>
    </row>
    <row r="8" spans="1:14" ht="22.5" customHeight="1" x14ac:dyDescent="0.25">
      <c r="A8" s="10" t="s">
        <v>68</v>
      </c>
      <c r="B8" s="11" t="s">
        <v>5</v>
      </c>
      <c r="C8" s="42">
        <v>375000</v>
      </c>
      <c r="D8" s="12"/>
      <c r="E8" s="42">
        <f t="shared" si="0"/>
        <v>0</v>
      </c>
      <c r="H8" s="39"/>
      <c r="I8" s="40"/>
      <c r="J8" s="40"/>
      <c r="K8" s="41"/>
      <c r="L8" s="41"/>
      <c r="M8" s="41"/>
      <c r="N8" s="41"/>
    </row>
    <row r="9" spans="1:14" ht="22.5" customHeight="1" x14ac:dyDescent="0.25">
      <c r="A9" s="10" t="s">
        <v>67</v>
      </c>
      <c r="B9" s="11" t="s">
        <v>5</v>
      </c>
      <c r="C9" s="42">
        <v>412500</v>
      </c>
      <c r="D9" s="12"/>
      <c r="E9" s="42">
        <f t="shared" si="0"/>
        <v>0</v>
      </c>
      <c r="H9" s="39"/>
      <c r="I9" s="40"/>
      <c r="J9" s="40"/>
      <c r="K9" s="41"/>
      <c r="L9" s="41"/>
      <c r="M9" s="41"/>
      <c r="N9" s="41"/>
    </row>
    <row r="10" spans="1:14" ht="22.5" customHeight="1" x14ac:dyDescent="0.25">
      <c r="A10" s="10" t="s">
        <v>69</v>
      </c>
      <c r="B10" s="11" t="s">
        <v>5</v>
      </c>
      <c r="C10" s="42">
        <v>487500</v>
      </c>
      <c r="D10" s="12"/>
      <c r="E10" s="42">
        <f t="shared" si="0"/>
        <v>0</v>
      </c>
      <c r="H10" s="39"/>
      <c r="I10" s="40"/>
      <c r="J10" s="40"/>
      <c r="K10" s="41"/>
      <c r="L10" s="41"/>
      <c r="M10" s="41"/>
      <c r="N10" s="41"/>
    </row>
    <row r="11" spans="1:14" ht="22.5" customHeight="1" x14ac:dyDescent="0.25">
      <c r="A11" s="10" t="s">
        <v>70</v>
      </c>
      <c r="B11" s="11" t="s">
        <v>5</v>
      </c>
      <c r="C11" s="42">
        <v>562500</v>
      </c>
      <c r="D11" s="12">
        <v>1</v>
      </c>
      <c r="E11" s="42">
        <f t="shared" si="0"/>
        <v>562500</v>
      </c>
      <c r="H11" s="39"/>
      <c r="I11" s="40"/>
      <c r="J11" s="40"/>
      <c r="K11" s="41"/>
      <c r="L11" s="41"/>
      <c r="M11" s="41"/>
      <c r="N11" s="41"/>
    </row>
    <row r="12" spans="1:14" ht="22.5" customHeight="1" x14ac:dyDescent="0.3">
      <c r="A12" s="9" t="s">
        <v>6</v>
      </c>
      <c r="B12" s="7"/>
      <c r="C12" s="43"/>
      <c r="D12" s="12"/>
      <c r="E12" s="42"/>
    </row>
    <row r="13" spans="1:14" ht="22.5" customHeight="1" x14ac:dyDescent="0.2">
      <c r="A13" s="10" t="s">
        <v>62</v>
      </c>
      <c r="B13" s="11" t="s">
        <v>5</v>
      </c>
      <c r="C13" s="42">
        <v>750000</v>
      </c>
      <c r="D13" s="12">
        <v>4</v>
      </c>
      <c r="E13" s="42">
        <f t="shared" si="0"/>
        <v>3000000</v>
      </c>
    </row>
    <row r="14" spans="1:14" ht="22.5" customHeight="1" x14ac:dyDescent="0.2">
      <c r="A14" s="10" t="s">
        <v>63</v>
      </c>
      <c r="B14" s="11" t="s">
        <v>5</v>
      </c>
      <c r="C14" s="42">
        <v>950000</v>
      </c>
      <c r="D14" s="12">
        <v>1</v>
      </c>
      <c r="E14" s="42">
        <f t="shared" si="0"/>
        <v>950000</v>
      </c>
    </row>
    <row r="15" spans="1:14" ht="22.5" customHeight="1" x14ac:dyDescent="0.2">
      <c r="A15" s="10" t="s">
        <v>64</v>
      </c>
      <c r="B15" s="11" t="s">
        <v>5</v>
      </c>
      <c r="C15" s="42">
        <v>300000</v>
      </c>
      <c r="D15" s="12"/>
      <c r="E15" s="42">
        <f t="shared" si="0"/>
        <v>0</v>
      </c>
    </row>
    <row r="16" spans="1:14" ht="22.5" customHeight="1" x14ac:dyDescent="0.3">
      <c r="A16" s="9" t="s">
        <v>7</v>
      </c>
      <c r="B16" s="7"/>
      <c r="C16" s="43"/>
      <c r="D16" s="12"/>
      <c r="E16" s="42"/>
    </row>
    <row r="17" spans="1:5" ht="22.5" customHeight="1" x14ac:dyDescent="0.2">
      <c r="A17" s="13" t="s">
        <v>8</v>
      </c>
      <c r="B17" s="11" t="s">
        <v>5</v>
      </c>
      <c r="C17" s="42">
        <v>610000</v>
      </c>
      <c r="D17" s="12"/>
      <c r="E17" s="42">
        <f t="shared" si="0"/>
        <v>0</v>
      </c>
    </row>
    <row r="18" spans="1:5" ht="22.5" customHeight="1" x14ac:dyDescent="0.2">
      <c r="A18" s="13" t="s">
        <v>9</v>
      </c>
      <c r="B18" s="11" t="s">
        <v>5</v>
      </c>
      <c r="C18" s="42">
        <v>350000</v>
      </c>
      <c r="D18" s="12"/>
      <c r="E18" s="42">
        <f t="shared" si="0"/>
        <v>0</v>
      </c>
    </row>
    <row r="19" spans="1:5" ht="22.5" customHeight="1" x14ac:dyDescent="0.2">
      <c r="A19" s="10" t="s">
        <v>65</v>
      </c>
      <c r="B19" s="11" t="s">
        <v>5</v>
      </c>
      <c r="C19" s="42">
        <v>600000</v>
      </c>
      <c r="D19" s="12"/>
      <c r="E19" s="42">
        <f t="shared" si="0"/>
        <v>0</v>
      </c>
    </row>
    <row r="20" spans="1:5" ht="22.5" customHeight="1" x14ac:dyDescent="0.2">
      <c r="A20" s="10" t="s">
        <v>56</v>
      </c>
      <c r="B20" s="11" t="s">
        <v>5</v>
      </c>
      <c r="C20" s="42">
        <v>467500</v>
      </c>
      <c r="E20" s="42"/>
    </row>
    <row r="21" spans="1:5" ht="22.5" customHeight="1" x14ac:dyDescent="0.2">
      <c r="A21" s="10" t="s">
        <v>10</v>
      </c>
      <c r="B21" s="11" t="s">
        <v>5</v>
      </c>
      <c r="C21" s="42">
        <v>260000</v>
      </c>
      <c r="D21" s="12">
        <v>4</v>
      </c>
      <c r="E21" s="42">
        <f>C21*D21</f>
        <v>1040000</v>
      </c>
    </row>
    <row r="22" spans="1:5" ht="22.5" customHeight="1" x14ac:dyDescent="0.2">
      <c r="A22" s="10" t="s">
        <v>11</v>
      </c>
      <c r="B22" s="11" t="s">
        <v>5</v>
      </c>
      <c r="C22" s="42">
        <v>300000</v>
      </c>
      <c r="D22" s="12"/>
      <c r="E22" s="42">
        <f t="shared" si="0"/>
        <v>0</v>
      </c>
    </row>
    <row r="23" spans="1:5" ht="22.5" customHeight="1" x14ac:dyDescent="0.2">
      <c r="A23" s="13" t="s">
        <v>12</v>
      </c>
      <c r="B23" s="11" t="s">
        <v>5</v>
      </c>
      <c r="C23" s="42">
        <v>316000</v>
      </c>
      <c r="D23" s="12"/>
      <c r="E23" s="42">
        <f t="shared" si="0"/>
        <v>0</v>
      </c>
    </row>
    <row r="24" spans="1:5" ht="22.5" customHeight="1" x14ac:dyDescent="0.2">
      <c r="A24" s="13" t="s">
        <v>13</v>
      </c>
      <c r="B24" s="11" t="s">
        <v>5</v>
      </c>
      <c r="C24" s="42">
        <v>380000</v>
      </c>
      <c r="D24" s="12"/>
      <c r="E24" s="42">
        <f t="shared" si="0"/>
        <v>0</v>
      </c>
    </row>
    <row r="25" spans="1:5" ht="22.5" customHeight="1" x14ac:dyDescent="0.2">
      <c r="A25" s="13" t="s">
        <v>14</v>
      </c>
      <c r="B25" s="11" t="s">
        <v>5</v>
      </c>
      <c r="C25" s="42">
        <v>440000</v>
      </c>
      <c r="D25" s="12">
        <v>1</v>
      </c>
      <c r="E25" s="42">
        <f t="shared" si="0"/>
        <v>440000</v>
      </c>
    </row>
    <row r="26" spans="1:5" ht="22.5" customHeight="1" x14ac:dyDescent="0.3">
      <c r="A26" s="9" t="s">
        <v>15</v>
      </c>
      <c r="B26" s="7"/>
      <c r="C26" s="43"/>
      <c r="D26" s="12"/>
      <c r="E26" s="42"/>
    </row>
    <row r="27" spans="1:5" ht="22.5" customHeight="1" x14ac:dyDescent="0.2">
      <c r="A27" s="13" t="s">
        <v>16</v>
      </c>
      <c r="B27" s="11" t="s">
        <v>5</v>
      </c>
      <c r="C27" s="42">
        <v>550000</v>
      </c>
      <c r="D27" s="12">
        <v>5</v>
      </c>
      <c r="E27" s="42">
        <f t="shared" si="0"/>
        <v>2750000</v>
      </c>
    </row>
    <row r="28" spans="1:5" ht="22.5" customHeight="1" x14ac:dyDescent="0.2">
      <c r="A28" s="10" t="s">
        <v>98</v>
      </c>
      <c r="B28" s="11" t="s">
        <v>5</v>
      </c>
      <c r="C28" s="42">
        <v>350000</v>
      </c>
      <c r="D28" s="12">
        <v>1</v>
      </c>
      <c r="E28" s="42">
        <f t="shared" si="0"/>
        <v>350000</v>
      </c>
    </row>
    <row r="29" spans="1:5" ht="22.5" customHeight="1" x14ac:dyDescent="0.2">
      <c r="A29" s="10" t="s">
        <v>71</v>
      </c>
      <c r="B29" s="11" t="s">
        <v>5</v>
      </c>
      <c r="C29" s="42">
        <v>710000</v>
      </c>
      <c r="D29" s="12"/>
      <c r="E29" s="42">
        <f t="shared" si="0"/>
        <v>0</v>
      </c>
    </row>
    <row r="30" spans="1:5" ht="22.5" customHeight="1" x14ac:dyDescent="0.3">
      <c r="A30" s="6" t="s">
        <v>17</v>
      </c>
      <c r="B30" s="7"/>
      <c r="C30" s="43"/>
      <c r="D30" s="12"/>
      <c r="E30" s="42"/>
    </row>
    <row r="31" spans="1:5" ht="22.5" customHeight="1" x14ac:dyDescent="0.3">
      <c r="A31" s="9" t="s">
        <v>18</v>
      </c>
      <c r="B31" s="7"/>
      <c r="C31" s="43"/>
      <c r="D31" s="12"/>
      <c r="E31" s="42"/>
    </row>
    <row r="32" spans="1:5" ht="22.5" customHeight="1" x14ac:dyDescent="0.2">
      <c r="A32" s="10" t="s">
        <v>60</v>
      </c>
      <c r="B32" s="11" t="s">
        <v>19</v>
      </c>
      <c r="C32" s="42">
        <v>75000</v>
      </c>
      <c r="D32" s="12">
        <f>D2</f>
        <v>11</v>
      </c>
      <c r="E32" s="42">
        <f>C32*D32</f>
        <v>825000</v>
      </c>
    </row>
    <row r="33" spans="1:5" ht="22.5" customHeight="1" x14ac:dyDescent="0.2">
      <c r="A33" s="13" t="s">
        <v>20</v>
      </c>
      <c r="B33" s="11" t="s">
        <v>19</v>
      </c>
      <c r="C33" s="42">
        <v>55000</v>
      </c>
      <c r="D33" s="12"/>
      <c r="E33" s="42">
        <f t="shared" si="0"/>
        <v>0</v>
      </c>
    </row>
    <row r="34" spans="1:5" ht="22.5" customHeight="1" x14ac:dyDescent="0.2">
      <c r="A34" s="10" t="s">
        <v>21</v>
      </c>
      <c r="B34" s="11" t="s">
        <v>19</v>
      </c>
      <c r="C34" s="42">
        <v>25000</v>
      </c>
      <c r="D34" s="12">
        <f>D2</f>
        <v>11</v>
      </c>
      <c r="E34" s="42">
        <f t="shared" si="0"/>
        <v>275000</v>
      </c>
    </row>
    <row r="35" spans="1:5" ht="22.5" customHeight="1" x14ac:dyDescent="0.2">
      <c r="A35" s="10" t="s">
        <v>79</v>
      </c>
      <c r="B35" s="11" t="s">
        <v>5</v>
      </c>
      <c r="C35" s="42">
        <v>250000</v>
      </c>
      <c r="D35" s="12">
        <v>1</v>
      </c>
      <c r="E35" s="42">
        <f t="shared" si="0"/>
        <v>250000</v>
      </c>
    </row>
    <row r="36" spans="1:5" ht="22.5" customHeight="1" x14ac:dyDescent="0.2">
      <c r="A36" s="13" t="s">
        <v>96</v>
      </c>
      <c r="B36" s="11" t="s">
        <v>19</v>
      </c>
      <c r="C36" s="42">
        <v>65000</v>
      </c>
      <c r="D36" s="12">
        <f>D2</f>
        <v>11</v>
      </c>
      <c r="E36" s="42">
        <f t="shared" si="0"/>
        <v>715000</v>
      </c>
    </row>
    <row r="37" spans="1:5" ht="22.5" customHeight="1" x14ac:dyDescent="0.2">
      <c r="A37" s="13" t="s">
        <v>97</v>
      </c>
      <c r="B37" s="11" t="s">
        <v>19</v>
      </c>
      <c r="C37" s="42">
        <v>65000</v>
      </c>
      <c r="D37" s="12">
        <f>D2</f>
        <v>11</v>
      </c>
      <c r="E37" s="42">
        <f t="shared" si="0"/>
        <v>715000</v>
      </c>
    </row>
    <row r="38" spans="1:5" ht="22.5" customHeight="1" x14ac:dyDescent="0.2">
      <c r="A38" s="10" t="s">
        <v>57</v>
      </c>
      <c r="B38" s="11" t="s">
        <v>19</v>
      </c>
      <c r="C38" s="42">
        <v>60000</v>
      </c>
      <c r="D38" s="12"/>
      <c r="E38" s="42">
        <f t="shared" si="0"/>
        <v>0</v>
      </c>
    </row>
    <row r="39" spans="1:5" ht="22.5" customHeight="1" x14ac:dyDescent="0.2">
      <c r="A39" s="10" t="s">
        <v>58</v>
      </c>
      <c r="B39" s="11" t="s">
        <v>19</v>
      </c>
      <c r="C39" s="42">
        <v>60000</v>
      </c>
      <c r="D39" s="12"/>
      <c r="E39" s="42">
        <f t="shared" si="0"/>
        <v>0</v>
      </c>
    </row>
    <row r="40" spans="1:5" ht="22.5" customHeight="1" x14ac:dyDescent="0.2">
      <c r="A40" s="13" t="s">
        <v>22</v>
      </c>
      <c r="B40" s="11" t="s">
        <v>5</v>
      </c>
      <c r="C40" s="42">
        <v>35000</v>
      </c>
      <c r="D40" s="12"/>
      <c r="E40" s="42">
        <f t="shared" si="0"/>
        <v>0</v>
      </c>
    </row>
    <row r="41" spans="1:5" ht="22.5" customHeight="1" x14ac:dyDescent="0.3">
      <c r="A41" s="9" t="s">
        <v>23</v>
      </c>
      <c r="B41" s="7"/>
      <c r="C41" s="44"/>
      <c r="D41" s="12"/>
      <c r="E41" s="42"/>
    </row>
    <row r="42" spans="1:5" ht="22.5" customHeight="1" x14ac:dyDescent="0.2">
      <c r="A42" s="10" t="s">
        <v>59</v>
      </c>
      <c r="B42" s="11" t="s">
        <v>19</v>
      </c>
      <c r="C42" s="42">
        <v>160000</v>
      </c>
      <c r="D42" s="12">
        <f>D2</f>
        <v>11</v>
      </c>
      <c r="E42" s="42">
        <f t="shared" si="0"/>
        <v>1760000</v>
      </c>
    </row>
    <row r="43" spans="1:5" ht="22.5" customHeight="1" x14ac:dyDescent="0.2">
      <c r="A43" s="13" t="s">
        <v>24</v>
      </c>
      <c r="B43" s="11" t="s">
        <v>19</v>
      </c>
      <c r="C43" s="42">
        <v>500000</v>
      </c>
      <c r="D43" s="12">
        <f>ROUNDUP(D2/4,0)</f>
        <v>3</v>
      </c>
      <c r="E43" s="42">
        <f t="shared" si="0"/>
        <v>1500000</v>
      </c>
    </row>
    <row r="44" spans="1:5" ht="22.5" customHeight="1" x14ac:dyDescent="0.3">
      <c r="A44" s="15" t="s">
        <v>25</v>
      </c>
      <c r="B44" s="7"/>
      <c r="C44" s="44"/>
      <c r="D44" s="12"/>
      <c r="E44" s="42"/>
    </row>
    <row r="45" spans="1:5" ht="22.5" customHeight="1" x14ac:dyDescent="0.2">
      <c r="A45" s="13" t="s">
        <v>26</v>
      </c>
      <c r="B45" s="11" t="s">
        <v>19</v>
      </c>
      <c r="C45" s="42">
        <v>90000</v>
      </c>
      <c r="D45" s="12"/>
      <c r="E45" s="42">
        <f t="shared" si="0"/>
        <v>0</v>
      </c>
    </row>
    <row r="46" spans="1:5" ht="22.5" customHeight="1" x14ac:dyDescent="0.2">
      <c r="A46" s="10" t="s">
        <v>77</v>
      </c>
      <c r="B46" s="11" t="s">
        <v>5</v>
      </c>
      <c r="C46" s="42">
        <v>100000</v>
      </c>
      <c r="D46" s="12"/>
      <c r="E46" s="42">
        <f t="shared" si="0"/>
        <v>0</v>
      </c>
    </row>
    <row r="47" spans="1:5" ht="22.5" customHeight="1" x14ac:dyDescent="0.3">
      <c r="A47" s="9" t="s">
        <v>27</v>
      </c>
      <c r="B47" s="7"/>
      <c r="C47" s="44"/>
      <c r="D47" s="12"/>
      <c r="E47" s="42"/>
    </row>
    <row r="48" spans="1:5" ht="22.5" customHeight="1" x14ac:dyDescent="0.2">
      <c r="A48" s="13" t="s">
        <v>28</v>
      </c>
      <c r="B48" s="11" t="s">
        <v>19</v>
      </c>
      <c r="C48" s="42">
        <v>150000</v>
      </c>
      <c r="D48" s="12">
        <f>$D$2</f>
        <v>11</v>
      </c>
      <c r="E48" s="42">
        <f t="shared" si="0"/>
        <v>1650000</v>
      </c>
    </row>
    <row r="49" spans="1:5" ht="22.5" customHeight="1" x14ac:dyDescent="0.2">
      <c r="A49" s="10" t="s">
        <v>78</v>
      </c>
      <c r="B49" s="11" t="s">
        <v>5</v>
      </c>
      <c r="C49" s="42">
        <v>200000</v>
      </c>
      <c r="D49" s="12">
        <v>1</v>
      </c>
      <c r="E49" s="42">
        <f t="shared" si="0"/>
        <v>200000</v>
      </c>
    </row>
    <row r="50" spans="1:5" ht="22.5" customHeight="1" x14ac:dyDescent="0.2">
      <c r="A50" s="13" t="s">
        <v>29</v>
      </c>
      <c r="B50" s="11" t="s">
        <v>19</v>
      </c>
      <c r="C50" s="42">
        <v>50000</v>
      </c>
      <c r="D50" s="12">
        <f>$D$2</f>
        <v>11</v>
      </c>
      <c r="E50" s="42">
        <f t="shared" si="0"/>
        <v>550000</v>
      </c>
    </row>
    <row r="51" spans="1:5" ht="22.5" customHeight="1" x14ac:dyDescent="0.2">
      <c r="A51" s="13" t="s">
        <v>30</v>
      </c>
      <c r="B51" s="11" t="s">
        <v>19</v>
      </c>
      <c r="C51" s="42">
        <v>40000</v>
      </c>
      <c r="D51" s="12">
        <f>$D$2</f>
        <v>11</v>
      </c>
      <c r="E51" s="42">
        <f t="shared" si="0"/>
        <v>440000</v>
      </c>
    </row>
    <row r="52" spans="1:5" ht="22.5" customHeight="1" x14ac:dyDescent="0.3">
      <c r="A52" s="16" t="s">
        <v>31</v>
      </c>
      <c r="B52" s="7"/>
      <c r="C52" s="43"/>
      <c r="D52" s="12"/>
      <c r="E52" s="42"/>
    </row>
    <row r="53" spans="1:5" ht="22.5" customHeight="1" x14ac:dyDescent="0.3">
      <c r="A53" s="9" t="s">
        <v>32</v>
      </c>
      <c r="B53" s="7"/>
      <c r="C53" s="43"/>
      <c r="D53" s="12"/>
      <c r="E53" s="42"/>
    </row>
    <row r="54" spans="1:5" ht="22.5" customHeight="1" x14ac:dyDescent="0.2">
      <c r="A54" s="13" t="s">
        <v>33</v>
      </c>
      <c r="B54" s="11" t="s">
        <v>34</v>
      </c>
      <c r="C54" s="42">
        <v>450000</v>
      </c>
      <c r="D54" s="12">
        <f>IF($D$2=1,4, IF($D$2=2,4,0))</f>
        <v>0</v>
      </c>
      <c r="E54" s="42">
        <f t="shared" si="0"/>
        <v>0</v>
      </c>
    </row>
    <row r="55" spans="1:5" ht="22.5" customHeight="1" x14ac:dyDescent="0.2">
      <c r="A55" s="13" t="s">
        <v>35</v>
      </c>
      <c r="B55" s="11" t="s">
        <v>34</v>
      </c>
      <c r="C55" s="42">
        <v>550000</v>
      </c>
      <c r="D55" s="12">
        <f>IF($D$2=3,4, 0)</f>
        <v>0</v>
      </c>
      <c r="E55" s="42">
        <f t="shared" si="0"/>
        <v>0</v>
      </c>
    </row>
    <row r="56" spans="1:5" ht="22.5" customHeight="1" x14ac:dyDescent="0.2">
      <c r="A56" s="10" t="s">
        <v>36</v>
      </c>
      <c r="B56" s="11" t="s">
        <v>34</v>
      </c>
      <c r="C56" s="42">
        <v>1100000</v>
      </c>
      <c r="D56" s="12">
        <f>IF((($D$2&gt;=4)*($D$2&lt;=11))=1,4,0)</f>
        <v>4</v>
      </c>
      <c r="E56" s="42">
        <f t="shared" si="0"/>
        <v>4400000</v>
      </c>
    </row>
    <row r="57" spans="1:5" ht="22.5" customHeight="1" x14ac:dyDescent="0.2">
      <c r="A57" s="13" t="s">
        <v>37</v>
      </c>
      <c r="B57" s="11" t="s">
        <v>34</v>
      </c>
      <c r="C57" s="42">
        <v>1300000</v>
      </c>
      <c r="D57" s="12"/>
      <c r="E57" s="42">
        <f t="shared" si="0"/>
        <v>0</v>
      </c>
    </row>
    <row r="58" spans="1:5" ht="22.5" customHeight="1" x14ac:dyDescent="0.2">
      <c r="A58" s="10" t="s">
        <v>95</v>
      </c>
      <c r="B58" s="11" t="s">
        <v>34</v>
      </c>
      <c r="C58" s="42">
        <f>250000+200000+200000</f>
        <v>650000</v>
      </c>
      <c r="D58" s="12">
        <v>4</v>
      </c>
      <c r="E58" s="42">
        <f t="shared" si="0"/>
        <v>2600000</v>
      </c>
    </row>
    <row r="59" spans="1:5" ht="22.5" customHeight="1" x14ac:dyDescent="0.3">
      <c r="A59" s="9" t="s">
        <v>38</v>
      </c>
      <c r="B59" s="7"/>
      <c r="C59" s="43"/>
      <c r="D59" s="12"/>
      <c r="E59" s="42"/>
    </row>
    <row r="60" spans="1:5" ht="22.5" customHeight="1" x14ac:dyDescent="0.2">
      <c r="A60" s="13" t="s">
        <v>39</v>
      </c>
      <c r="B60" s="11" t="s">
        <v>5</v>
      </c>
      <c r="C60" s="42">
        <v>200000</v>
      </c>
      <c r="D60" s="12">
        <f>IF((($D$2&gt;=10)*($D$2&lt;=11))=1,2,1)</f>
        <v>2</v>
      </c>
      <c r="E60" s="42">
        <f t="shared" si="0"/>
        <v>400000</v>
      </c>
    </row>
    <row r="61" spans="1:5" ht="22.5" customHeight="1" x14ac:dyDescent="0.2">
      <c r="A61" s="10" t="s">
        <v>72</v>
      </c>
      <c r="B61" s="11" t="s">
        <v>5</v>
      </c>
      <c r="C61" s="42">
        <v>300000</v>
      </c>
      <c r="D61" s="12"/>
      <c r="E61" s="42">
        <f t="shared" si="0"/>
        <v>0</v>
      </c>
    </row>
    <row r="62" spans="1:5" ht="22.5" customHeight="1" x14ac:dyDescent="0.3">
      <c r="A62" s="9" t="s">
        <v>40</v>
      </c>
      <c r="B62" s="7"/>
      <c r="C62" s="43"/>
      <c r="D62" s="12"/>
      <c r="E62" s="42">
        <f t="shared" si="0"/>
        <v>0</v>
      </c>
    </row>
    <row r="63" spans="1:5" ht="22.5" customHeight="1" x14ac:dyDescent="0.2">
      <c r="A63" s="13" t="s">
        <v>41</v>
      </c>
      <c r="B63" s="11" t="s">
        <v>42</v>
      </c>
      <c r="C63" s="42">
        <v>200000</v>
      </c>
      <c r="D63" s="12">
        <f>ROUNDUP(D2/3,0)</f>
        <v>4</v>
      </c>
      <c r="E63" s="42">
        <f t="shared" si="0"/>
        <v>800000</v>
      </c>
    </row>
    <row r="64" spans="1:5" ht="22.5" customHeight="1" x14ac:dyDescent="0.3">
      <c r="A64" s="15" t="s">
        <v>75</v>
      </c>
      <c r="B64" s="7"/>
      <c r="C64" s="43"/>
      <c r="D64" s="12"/>
      <c r="E64" s="42">
        <f t="shared" si="0"/>
        <v>0</v>
      </c>
    </row>
    <row r="65" spans="1:5" ht="22.5" customHeight="1" x14ac:dyDescent="0.2">
      <c r="A65" s="10" t="s">
        <v>76</v>
      </c>
      <c r="B65" s="11" t="s">
        <v>42</v>
      </c>
      <c r="C65" s="42">
        <v>650000</v>
      </c>
      <c r="D65" s="12"/>
      <c r="E65" s="42">
        <f t="shared" si="0"/>
        <v>0</v>
      </c>
    </row>
    <row r="66" spans="1:5" ht="22.5" customHeight="1" x14ac:dyDescent="0.3">
      <c r="A66" s="16" t="s">
        <v>43</v>
      </c>
      <c r="B66" s="7"/>
      <c r="C66" s="43"/>
      <c r="D66" s="12"/>
      <c r="E66" s="42"/>
    </row>
    <row r="67" spans="1:5" ht="22.5" customHeight="1" x14ac:dyDescent="0.3">
      <c r="A67" s="9" t="s">
        <v>44</v>
      </c>
      <c r="B67" s="7"/>
      <c r="C67" s="43"/>
      <c r="D67" s="12"/>
      <c r="E67" s="42"/>
    </row>
    <row r="68" spans="1:5" ht="22.5" customHeight="1" x14ac:dyDescent="0.2">
      <c r="A68" s="13" t="s">
        <v>45</v>
      </c>
      <c r="B68" s="11" t="s">
        <v>34</v>
      </c>
      <c r="C68" s="42">
        <v>250000</v>
      </c>
      <c r="D68" s="12">
        <f>IF((($D$2&gt;=1)*($D$2&lt;=3))=1,4,0)</f>
        <v>0</v>
      </c>
      <c r="E68" s="42">
        <f t="shared" si="0"/>
        <v>0</v>
      </c>
    </row>
    <row r="69" spans="1:5" ht="22.5" customHeight="1" x14ac:dyDescent="0.2">
      <c r="A69" s="10" t="s">
        <v>73</v>
      </c>
      <c r="B69" s="11" t="s">
        <v>34</v>
      </c>
      <c r="C69" s="42">
        <v>250000</v>
      </c>
      <c r="D69" s="12">
        <f>IF((($D$2&gt;=4)*($D$2&lt;=11))=1,4,0)</f>
        <v>4</v>
      </c>
      <c r="E69" s="42">
        <f t="shared" si="0"/>
        <v>1000000</v>
      </c>
    </row>
    <row r="70" spans="1:5" ht="22.5" customHeight="1" x14ac:dyDescent="0.2">
      <c r="A70" s="10" t="s">
        <v>74</v>
      </c>
      <c r="B70" s="11" t="s">
        <v>34</v>
      </c>
      <c r="C70" s="42">
        <v>200000</v>
      </c>
      <c r="D70" s="12"/>
      <c r="E70" s="42">
        <f t="shared" si="0"/>
        <v>0</v>
      </c>
    </row>
    <row r="71" spans="1:5" ht="22.5" customHeight="1" x14ac:dyDescent="0.3">
      <c r="A71" s="16" t="s">
        <v>46</v>
      </c>
      <c r="B71" s="7"/>
      <c r="C71" s="43"/>
      <c r="D71" s="12"/>
      <c r="E71" s="42"/>
    </row>
    <row r="72" spans="1:5" ht="22.5" customHeight="1" x14ac:dyDescent="0.3">
      <c r="A72" s="9" t="s">
        <v>47</v>
      </c>
      <c r="B72" s="7"/>
      <c r="C72" s="43"/>
      <c r="D72" s="12"/>
      <c r="E72" s="42"/>
    </row>
    <row r="73" spans="1:5" ht="22.5" customHeight="1" x14ac:dyDescent="0.2">
      <c r="A73" s="13" t="s">
        <v>48</v>
      </c>
      <c r="B73" s="11" t="s">
        <v>86</v>
      </c>
      <c r="C73" s="42">
        <v>40000</v>
      </c>
      <c r="D73" s="12">
        <f>ROUNDUP(D2*4*4/24,0)</f>
        <v>8</v>
      </c>
      <c r="E73" s="42">
        <f t="shared" ref="E73:E79" si="1">C73*D73</f>
        <v>320000</v>
      </c>
    </row>
    <row r="74" spans="1:5" ht="22.5" customHeight="1" x14ac:dyDescent="0.2">
      <c r="A74" s="13" t="s">
        <v>50</v>
      </c>
      <c r="B74" s="11" t="s">
        <v>49</v>
      </c>
      <c r="C74" s="42">
        <v>100000</v>
      </c>
      <c r="D74" s="12">
        <v>1</v>
      </c>
      <c r="E74" s="42">
        <f t="shared" si="1"/>
        <v>100000</v>
      </c>
    </row>
    <row r="75" spans="1:5" ht="22.5" customHeight="1" x14ac:dyDescent="0.2">
      <c r="A75" s="13" t="s">
        <v>51</v>
      </c>
      <c r="B75" s="11" t="s">
        <v>19</v>
      </c>
      <c r="C75" s="42">
        <v>60000</v>
      </c>
      <c r="D75" s="12">
        <f>D2</f>
        <v>11</v>
      </c>
      <c r="E75" s="42">
        <f t="shared" si="1"/>
        <v>660000</v>
      </c>
    </row>
    <row r="76" spans="1:5" ht="22.5" customHeight="1" x14ac:dyDescent="0.3">
      <c r="A76" s="9" t="s">
        <v>52</v>
      </c>
      <c r="B76" s="7"/>
      <c r="C76" s="14"/>
      <c r="D76" s="12"/>
      <c r="E76" s="42">
        <f t="shared" si="1"/>
        <v>0</v>
      </c>
    </row>
    <row r="77" spans="1:5" ht="22.5" customHeight="1" x14ac:dyDescent="0.2">
      <c r="A77" s="13" t="s">
        <v>53</v>
      </c>
      <c r="B77" s="11" t="s">
        <v>42</v>
      </c>
      <c r="C77" s="12">
        <v>2000000</v>
      </c>
      <c r="D77" s="12"/>
      <c r="E77" s="42">
        <f t="shared" si="1"/>
        <v>0</v>
      </c>
    </row>
    <row r="78" spans="1:5" ht="22.5" customHeight="1" x14ac:dyDescent="0.3">
      <c r="A78" s="9" t="s">
        <v>54</v>
      </c>
      <c r="B78" s="7"/>
      <c r="C78" s="14"/>
      <c r="D78" s="12"/>
      <c r="E78" s="42">
        <f t="shared" si="1"/>
        <v>0</v>
      </c>
    </row>
    <row r="79" spans="1:5" ht="22.5" customHeight="1" x14ac:dyDescent="0.2">
      <c r="A79" s="13" t="s">
        <v>55</v>
      </c>
      <c r="B79" s="11" t="s">
        <v>19</v>
      </c>
      <c r="C79" s="12">
        <v>16000</v>
      </c>
      <c r="D79" s="12"/>
      <c r="E79" s="42">
        <f t="shared" si="1"/>
        <v>0</v>
      </c>
    </row>
    <row r="80" spans="1:5" ht="22.5" customHeight="1" x14ac:dyDescent="0.2">
      <c r="A80" s="10" t="s">
        <v>61</v>
      </c>
      <c r="B80" s="11" t="s">
        <v>5</v>
      </c>
      <c r="C80" s="12">
        <v>100000</v>
      </c>
      <c r="D80" s="12"/>
      <c r="E80" s="42">
        <f>C80*D80</f>
        <v>0</v>
      </c>
    </row>
    <row r="81" spans="1:5" s="1" customFormat="1" ht="30" customHeight="1" x14ac:dyDescent="0.2">
      <c r="A81" s="18" t="s">
        <v>87</v>
      </c>
      <c r="B81" s="17"/>
      <c r="C81" s="5"/>
      <c r="D81" s="12"/>
      <c r="E81" s="45">
        <f>SUM(E7:E80)</f>
        <v>29602500</v>
      </c>
    </row>
    <row r="82" spans="1:5" ht="36" customHeight="1" x14ac:dyDescent="0.2">
      <c r="A82" s="18" t="s">
        <v>92</v>
      </c>
      <c r="B82" s="8"/>
      <c r="C82" s="8"/>
      <c r="D82" s="8"/>
      <c r="E82" s="45">
        <f>E81/D2</f>
        <v>2691136.3636363638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2025-11-15T05:30:04Z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