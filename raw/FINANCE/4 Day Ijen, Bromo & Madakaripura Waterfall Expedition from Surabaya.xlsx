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741" documentId="8_{49DE2DE6-D929-4DA0-BB4F-4F6EC9A2F1B6}" xr6:coauthVersionLast="47" xr6:coauthVersionMax="47" xr10:uidLastSave="{1AF9DFAB-CE85-4248-AE69-0DDA9B35BE13}"/>
  <bookViews>
    <workbookView xWindow="-105" yWindow="0" windowWidth="19410" windowHeight="15585" firstSheet="4" activeTab="5" xr2:uid="{00000000-000D-0000-FFFF-FFFF00000000}"/>
  </bookViews>
  <sheets>
    <sheet name="Calculation" sheetId="2" r:id="rId1"/>
    <sheet name="Summary" sheetId="3" r:id="rId2"/>
    <sheet name="1 Pax" sheetId="16" r:id="rId3"/>
    <sheet name="2 Pax" sheetId="6" r:id="rId4"/>
    <sheet name="3 Pax" sheetId="7" r:id="rId5"/>
    <sheet name="4 Pax" sheetId="8" r:id="rId6"/>
    <sheet name="5 Pax" sheetId="9" r:id="rId7"/>
    <sheet name="6 Pax" sheetId="10" r:id="rId8"/>
    <sheet name="7 Pax" sheetId="11" r:id="rId9"/>
    <sheet name="8 Pax" sheetId="12" r:id="rId10"/>
    <sheet name="9 Pax" sheetId="13" r:id="rId11"/>
    <sheet name="10 Pax" sheetId="14" r:id="rId12"/>
    <sheet name="11 Pax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8" l="1"/>
  <c r="E45" i="8"/>
  <c r="E44" i="8"/>
  <c r="D18" i="15"/>
  <c r="E18" i="15" s="1"/>
  <c r="D15" i="14"/>
  <c r="E15" i="14" s="1"/>
  <c r="D18" i="13"/>
  <c r="E18" i="13" s="1"/>
  <c r="D15" i="12"/>
  <c r="E15" i="12" s="1"/>
  <c r="D18" i="11"/>
  <c r="E18" i="11" s="1"/>
  <c r="D15" i="10"/>
  <c r="E15" i="10" s="1"/>
  <c r="D18" i="9"/>
  <c r="E18" i="9" s="1"/>
  <c r="D15" i="8"/>
  <c r="E15" i="8" s="1"/>
  <c r="D16" i="7"/>
  <c r="E16" i="7" s="1"/>
  <c r="D15" i="6"/>
  <c r="E15" i="6" s="1"/>
  <c r="D15" i="16"/>
  <c r="E15" i="16" s="1"/>
  <c r="E2" i="3"/>
  <c r="D40" i="16"/>
  <c r="E40" i="16" s="1"/>
  <c r="E39" i="16"/>
  <c r="D38" i="16"/>
  <c r="E38" i="16" s="1"/>
  <c r="E37" i="16"/>
  <c r="E36" i="16"/>
  <c r="D35" i="16"/>
  <c r="E35" i="16" s="1"/>
  <c r="E34" i="16"/>
  <c r="E33" i="16"/>
  <c r="D32" i="16"/>
  <c r="E32" i="16" s="1"/>
  <c r="E31" i="16"/>
  <c r="D30" i="16"/>
  <c r="E30" i="16" s="1"/>
  <c r="D28" i="16"/>
  <c r="E28" i="16" s="1"/>
  <c r="E25" i="16"/>
  <c r="D24" i="16"/>
  <c r="E24" i="16" s="1"/>
  <c r="D22" i="16"/>
  <c r="E22" i="16" s="1"/>
  <c r="D21" i="16"/>
  <c r="E21" i="16" s="1"/>
  <c r="D19" i="16"/>
  <c r="E19" i="16" s="1"/>
  <c r="D18" i="16"/>
  <c r="E18" i="16" s="1"/>
  <c r="E17" i="16"/>
  <c r="D16" i="16"/>
  <c r="E16" i="16" s="1"/>
  <c r="D14" i="16"/>
  <c r="E14" i="16" s="1"/>
  <c r="D11" i="16"/>
  <c r="E11" i="16" s="1"/>
  <c r="E10" i="16"/>
  <c r="D9" i="16"/>
  <c r="E9" i="16" s="1"/>
  <c r="D7" i="16"/>
  <c r="E7" i="16" s="1"/>
  <c r="D44" i="15"/>
  <c r="E44" i="15" s="1"/>
  <c r="E43" i="15"/>
  <c r="D42" i="15"/>
  <c r="E42" i="15" s="1"/>
  <c r="D39" i="15"/>
  <c r="E39" i="15" s="1"/>
  <c r="D36" i="15"/>
  <c r="E36" i="15" s="1"/>
  <c r="D34" i="15"/>
  <c r="E34" i="15" s="1"/>
  <c r="E32" i="15"/>
  <c r="D31" i="15"/>
  <c r="E31" i="15" s="1"/>
  <c r="E28" i="15"/>
  <c r="D27" i="15"/>
  <c r="E27" i="15" s="1"/>
  <c r="D25" i="15"/>
  <c r="E25" i="15" s="1"/>
  <c r="D24" i="15"/>
  <c r="E24" i="15" s="1"/>
  <c r="D22" i="15"/>
  <c r="E22" i="15" s="1"/>
  <c r="D21" i="15"/>
  <c r="E21" i="15" s="1"/>
  <c r="E20" i="15"/>
  <c r="D19" i="15"/>
  <c r="E19" i="15" s="1"/>
  <c r="D17" i="15"/>
  <c r="E17" i="15" s="1"/>
  <c r="E14" i="15"/>
  <c r="E13" i="15"/>
  <c r="E11" i="15"/>
  <c r="E10" i="15"/>
  <c r="E8" i="15"/>
  <c r="E7" i="15"/>
  <c r="D41" i="14"/>
  <c r="E41" i="14" s="1"/>
  <c r="E40" i="14"/>
  <c r="D39" i="14"/>
  <c r="E39" i="14" s="1"/>
  <c r="D36" i="14"/>
  <c r="E36" i="14" s="1"/>
  <c r="D33" i="14"/>
  <c r="E33" i="14" s="1"/>
  <c r="D31" i="14"/>
  <c r="E31" i="14" s="1"/>
  <c r="E29" i="14"/>
  <c r="D28" i="14"/>
  <c r="E28" i="14" s="1"/>
  <c r="E25" i="14"/>
  <c r="D24" i="14"/>
  <c r="E24" i="14" s="1"/>
  <c r="D22" i="14"/>
  <c r="E22" i="14" s="1"/>
  <c r="D21" i="14"/>
  <c r="E21" i="14" s="1"/>
  <c r="D19" i="14"/>
  <c r="E19" i="14" s="1"/>
  <c r="D18" i="14"/>
  <c r="E18" i="14" s="1"/>
  <c r="E17" i="14"/>
  <c r="D16" i="14"/>
  <c r="E16" i="14" s="1"/>
  <c r="D14" i="14"/>
  <c r="E14" i="14" s="1"/>
  <c r="D11" i="14"/>
  <c r="E11" i="14" s="1"/>
  <c r="D9" i="14"/>
  <c r="E9" i="14" s="1"/>
  <c r="D7" i="14"/>
  <c r="E7" i="14" s="1"/>
  <c r="D43" i="13"/>
  <c r="E43" i="13" s="1"/>
  <c r="E42" i="13"/>
  <c r="D41" i="13"/>
  <c r="E41" i="13" s="1"/>
  <c r="D38" i="13"/>
  <c r="E38" i="13" s="1"/>
  <c r="D35" i="13"/>
  <c r="E35" i="13" s="1"/>
  <c r="D33" i="13"/>
  <c r="E33" i="13" s="1"/>
  <c r="D31" i="13"/>
  <c r="E31" i="13" s="1"/>
  <c r="E28" i="13"/>
  <c r="D27" i="13"/>
  <c r="E27" i="13" s="1"/>
  <c r="D25" i="13"/>
  <c r="E25" i="13" s="1"/>
  <c r="D24" i="13"/>
  <c r="E24" i="13" s="1"/>
  <c r="D22" i="13"/>
  <c r="E22" i="13" s="1"/>
  <c r="D21" i="13"/>
  <c r="E21" i="13" s="1"/>
  <c r="E20" i="13"/>
  <c r="D19" i="13"/>
  <c r="E19" i="13" s="1"/>
  <c r="D17" i="13"/>
  <c r="E17" i="13" s="1"/>
  <c r="E14" i="13"/>
  <c r="E13" i="13"/>
  <c r="E11" i="13"/>
  <c r="E10" i="13"/>
  <c r="E8" i="13"/>
  <c r="E7" i="13"/>
  <c r="D40" i="12"/>
  <c r="E40" i="12" s="1"/>
  <c r="E39" i="12"/>
  <c r="D38" i="12"/>
  <c r="E38" i="12" s="1"/>
  <c r="D35" i="12"/>
  <c r="E35" i="12" s="1"/>
  <c r="D32" i="12"/>
  <c r="E32" i="12" s="1"/>
  <c r="D30" i="12"/>
  <c r="E30" i="12" s="1"/>
  <c r="D28" i="12"/>
  <c r="E28" i="12" s="1"/>
  <c r="E25" i="12"/>
  <c r="D24" i="12"/>
  <c r="E24" i="12" s="1"/>
  <c r="D22" i="12"/>
  <c r="E22" i="12" s="1"/>
  <c r="D21" i="12"/>
  <c r="E21" i="12" s="1"/>
  <c r="D19" i="12"/>
  <c r="E19" i="12" s="1"/>
  <c r="D18" i="12"/>
  <c r="E18" i="12" s="1"/>
  <c r="E17" i="12"/>
  <c r="D16" i="12"/>
  <c r="E16" i="12" s="1"/>
  <c r="D14" i="12"/>
  <c r="E14" i="12" s="1"/>
  <c r="D11" i="12"/>
  <c r="E11" i="12" s="1"/>
  <c r="E10" i="12"/>
  <c r="D9" i="12"/>
  <c r="E9" i="12" s="1"/>
  <c r="D7" i="12"/>
  <c r="E7" i="12" s="1"/>
  <c r="E14" i="11"/>
  <c r="E26" i="2"/>
  <c r="D43" i="11"/>
  <c r="E43" i="11" s="1"/>
  <c r="E42" i="11"/>
  <c r="D41" i="11"/>
  <c r="E41" i="11" s="1"/>
  <c r="D38" i="11"/>
  <c r="E38" i="11" s="1"/>
  <c r="D35" i="11"/>
  <c r="E35" i="11" s="1"/>
  <c r="D33" i="11"/>
  <c r="E33" i="11" s="1"/>
  <c r="D31" i="11"/>
  <c r="E31" i="11" s="1"/>
  <c r="E28" i="11"/>
  <c r="D27" i="11"/>
  <c r="E27" i="11" s="1"/>
  <c r="D25" i="11"/>
  <c r="E25" i="11" s="1"/>
  <c r="D24" i="11"/>
  <c r="E24" i="11" s="1"/>
  <c r="D22" i="11"/>
  <c r="E22" i="11" s="1"/>
  <c r="D21" i="11"/>
  <c r="E21" i="11" s="1"/>
  <c r="E20" i="11"/>
  <c r="D19" i="11"/>
  <c r="E19" i="11" s="1"/>
  <c r="D17" i="11"/>
  <c r="E17" i="11" s="1"/>
  <c r="E13" i="11"/>
  <c r="E11" i="11"/>
  <c r="E10" i="11"/>
  <c r="E8" i="11"/>
  <c r="E7" i="11"/>
  <c r="D40" i="10"/>
  <c r="E40" i="10" s="1"/>
  <c r="E39" i="10"/>
  <c r="D38" i="10"/>
  <c r="E38" i="10" s="1"/>
  <c r="E37" i="10"/>
  <c r="E36" i="10"/>
  <c r="D35" i="10"/>
  <c r="E35" i="10" s="1"/>
  <c r="E34" i="10"/>
  <c r="E33" i="10"/>
  <c r="D32" i="10"/>
  <c r="E32" i="10" s="1"/>
  <c r="E31" i="10"/>
  <c r="D30" i="10"/>
  <c r="E30" i="10" s="1"/>
  <c r="D28" i="10"/>
  <c r="E28" i="10" s="1"/>
  <c r="E25" i="10"/>
  <c r="D24" i="10"/>
  <c r="E24" i="10" s="1"/>
  <c r="D22" i="10"/>
  <c r="E22" i="10" s="1"/>
  <c r="D21" i="10"/>
  <c r="E21" i="10" s="1"/>
  <c r="D19" i="10"/>
  <c r="E19" i="10" s="1"/>
  <c r="D18" i="10"/>
  <c r="E18" i="10" s="1"/>
  <c r="E17" i="10"/>
  <c r="D16" i="10"/>
  <c r="E16" i="10" s="1"/>
  <c r="D14" i="10"/>
  <c r="E14" i="10" s="1"/>
  <c r="D11" i="10"/>
  <c r="E11" i="10" s="1"/>
  <c r="E10" i="10"/>
  <c r="D9" i="10"/>
  <c r="E9" i="10" s="1"/>
  <c r="D7" i="10"/>
  <c r="E7" i="10" s="1"/>
  <c r="E12" i="7"/>
  <c r="E14" i="9"/>
  <c r="D43" i="9"/>
  <c r="E43" i="9" s="1"/>
  <c r="E42" i="9"/>
  <c r="D41" i="9"/>
  <c r="E41" i="9" s="1"/>
  <c r="D38" i="9"/>
  <c r="E38" i="9" s="1"/>
  <c r="D35" i="9"/>
  <c r="E35" i="9" s="1"/>
  <c r="D33" i="9"/>
  <c r="E33" i="9" s="1"/>
  <c r="D31" i="9"/>
  <c r="E31" i="9" s="1"/>
  <c r="E28" i="9"/>
  <c r="D27" i="9"/>
  <c r="E27" i="9" s="1"/>
  <c r="D25" i="9"/>
  <c r="E25" i="9" s="1"/>
  <c r="D24" i="9"/>
  <c r="E24" i="9" s="1"/>
  <c r="D22" i="9"/>
  <c r="E22" i="9" s="1"/>
  <c r="D21" i="9"/>
  <c r="E21" i="9" s="1"/>
  <c r="E20" i="9"/>
  <c r="D19" i="9"/>
  <c r="E19" i="9" s="1"/>
  <c r="D17" i="9"/>
  <c r="E17" i="9" s="1"/>
  <c r="E13" i="9"/>
  <c r="E11" i="9"/>
  <c r="E10" i="9"/>
  <c r="E8" i="9"/>
  <c r="E7" i="9"/>
  <c r="D40" i="8"/>
  <c r="E40" i="8" s="1"/>
  <c r="E39" i="8"/>
  <c r="D38" i="8"/>
  <c r="E38" i="8" s="1"/>
  <c r="E37" i="8"/>
  <c r="E36" i="8"/>
  <c r="D35" i="8"/>
  <c r="E35" i="8" s="1"/>
  <c r="E34" i="8"/>
  <c r="E33" i="8"/>
  <c r="D32" i="8"/>
  <c r="E32" i="8" s="1"/>
  <c r="E31" i="8"/>
  <c r="D30" i="8"/>
  <c r="E30" i="8" s="1"/>
  <c r="D28" i="8"/>
  <c r="E28" i="8" s="1"/>
  <c r="E25" i="8"/>
  <c r="D24" i="8"/>
  <c r="E24" i="8" s="1"/>
  <c r="D22" i="8"/>
  <c r="E22" i="8" s="1"/>
  <c r="D21" i="8"/>
  <c r="E21" i="8" s="1"/>
  <c r="D19" i="8"/>
  <c r="E19" i="8" s="1"/>
  <c r="D18" i="8"/>
  <c r="E18" i="8" s="1"/>
  <c r="E17" i="8"/>
  <c r="D16" i="8"/>
  <c r="E16" i="8" s="1"/>
  <c r="D14" i="8"/>
  <c r="E14" i="8" s="1"/>
  <c r="D11" i="8"/>
  <c r="E11" i="8" s="1"/>
  <c r="E10" i="8"/>
  <c r="D9" i="8"/>
  <c r="E9" i="8" s="1"/>
  <c r="D7" i="8"/>
  <c r="E7" i="8" s="1"/>
  <c r="D41" i="7"/>
  <c r="E41" i="7" s="1"/>
  <c r="E40" i="7"/>
  <c r="D39" i="7"/>
  <c r="E39" i="7" s="1"/>
  <c r="E38" i="7"/>
  <c r="E37" i="7"/>
  <c r="D36" i="7"/>
  <c r="E36" i="7" s="1"/>
  <c r="E35" i="7"/>
  <c r="E34" i="7"/>
  <c r="D33" i="7"/>
  <c r="E33" i="7" s="1"/>
  <c r="E32" i="7"/>
  <c r="D31" i="7"/>
  <c r="E31" i="7" s="1"/>
  <c r="E29" i="7"/>
  <c r="E26" i="7"/>
  <c r="D25" i="7"/>
  <c r="E25" i="7" s="1"/>
  <c r="D23" i="7"/>
  <c r="E23" i="7" s="1"/>
  <c r="D22" i="7"/>
  <c r="E22" i="7" s="1"/>
  <c r="D20" i="7"/>
  <c r="E20" i="7" s="1"/>
  <c r="D19" i="7"/>
  <c r="E19" i="7" s="1"/>
  <c r="E18" i="7"/>
  <c r="D17" i="7"/>
  <c r="E17" i="7" s="1"/>
  <c r="D15" i="7"/>
  <c r="E15" i="7" s="1"/>
  <c r="E11" i="7"/>
  <c r="E10" i="7"/>
  <c r="E9" i="7"/>
  <c r="E7" i="7"/>
  <c r="D40" i="6"/>
  <c r="E40" i="6" s="1"/>
  <c r="E39" i="6"/>
  <c r="D38" i="6"/>
  <c r="E38" i="6" s="1"/>
  <c r="E37" i="6"/>
  <c r="E36" i="6"/>
  <c r="D35" i="6"/>
  <c r="E35" i="6" s="1"/>
  <c r="E34" i="6"/>
  <c r="E33" i="6"/>
  <c r="D32" i="6"/>
  <c r="E32" i="6" s="1"/>
  <c r="E31" i="6"/>
  <c r="D30" i="6"/>
  <c r="E30" i="6" s="1"/>
  <c r="D28" i="6"/>
  <c r="E28" i="6" s="1"/>
  <c r="E25" i="6"/>
  <c r="D24" i="6"/>
  <c r="E24" i="6" s="1"/>
  <c r="D22" i="6"/>
  <c r="E22" i="6" s="1"/>
  <c r="D21" i="6"/>
  <c r="E21" i="6" s="1"/>
  <c r="D19" i="6"/>
  <c r="E19" i="6" s="1"/>
  <c r="D18" i="6"/>
  <c r="E18" i="6" s="1"/>
  <c r="E17" i="6"/>
  <c r="D16" i="6"/>
  <c r="E16" i="6" s="1"/>
  <c r="D14" i="6"/>
  <c r="E14" i="6" s="1"/>
  <c r="D11" i="6"/>
  <c r="E11" i="6" s="1"/>
  <c r="E10" i="6"/>
  <c r="D9" i="6"/>
  <c r="E9" i="6" s="1"/>
  <c r="D7" i="6"/>
  <c r="E7" i="6" s="1"/>
  <c r="D15" i="2"/>
  <c r="E15" i="2" s="1"/>
  <c r="D47" i="2"/>
  <c r="E47" i="2" s="1"/>
  <c r="D62" i="2"/>
  <c r="E62" i="2" s="1"/>
  <c r="D61" i="2"/>
  <c r="E61" i="2" s="1"/>
  <c r="D49" i="2"/>
  <c r="E49" i="2" s="1"/>
  <c r="D48" i="2"/>
  <c r="E48" i="2" s="1"/>
  <c r="D56" i="2"/>
  <c r="E56" i="2" s="1"/>
  <c r="D25" i="2"/>
  <c r="E25" i="2" s="1"/>
  <c r="D53" i="2"/>
  <c r="E53" i="2" s="1"/>
  <c r="D51" i="2"/>
  <c r="E51" i="2" s="1"/>
  <c r="E3" i="3"/>
  <c r="E4" i="3"/>
  <c r="E5" i="3"/>
  <c r="E6" i="3"/>
  <c r="E7" i="3"/>
  <c r="E8" i="3"/>
  <c r="E9" i="3"/>
  <c r="E10" i="3"/>
  <c r="E11" i="3"/>
  <c r="E12" i="3"/>
  <c r="D68" i="2"/>
  <c r="E68" i="2" s="1"/>
  <c r="D66" i="2"/>
  <c r="E66" i="2" s="1"/>
  <c r="E73" i="2"/>
  <c r="E10" i="2"/>
  <c r="E11" i="2"/>
  <c r="E12" i="2"/>
  <c r="E13" i="2"/>
  <c r="E14" i="2"/>
  <c r="E16" i="2"/>
  <c r="E17" i="2"/>
  <c r="E18" i="2"/>
  <c r="E19" i="2"/>
  <c r="E22" i="2"/>
  <c r="E23" i="2"/>
  <c r="E24" i="2"/>
  <c r="E27" i="2"/>
  <c r="E31" i="2"/>
  <c r="E33" i="2"/>
  <c r="E36" i="2"/>
  <c r="E37" i="2"/>
  <c r="E38" i="2"/>
  <c r="E44" i="2"/>
  <c r="E50" i="2"/>
  <c r="E54" i="2"/>
  <c r="E55" i="2"/>
  <c r="E57" i="2"/>
  <c r="E58" i="2"/>
  <c r="E59" i="2"/>
  <c r="E60" i="2"/>
  <c r="E63" i="2"/>
  <c r="E64" i="2"/>
  <c r="E65" i="2"/>
  <c r="E67" i="2"/>
  <c r="E69" i="2"/>
  <c r="E70" i="2"/>
  <c r="E71" i="2"/>
  <c r="E72" i="2"/>
  <c r="D43" i="2"/>
  <c r="E43" i="2" s="1"/>
  <c r="D41" i="2"/>
  <c r="E41" i="2" s="1"/>
  <c r="D40" i="2"/>
  <c r="E40" i="2" s="1"/>
  <c r="D35" i="2"/>
  <c r="E35" i="2" s="1"/>
  <c r="D34" i="2"/>
  <c r="E34" i="2" s="1"/>
  <c r="D32" i="2"/>
  <c r="E32" i="2" s="1"/>
  <c r="D30" i="2"/>
  <c r="E30" i="2" s="1"/>
  <c r="D21" i="2"/>
  <c r="E21" i="2" s="1"/>
  <c r="E9" i="2"/>
  <c r="E41" i="16" l="1"/>
  <c r="E42" i="16" s="1"/>
  <c r="B2" i="3" s="1"/>
  <c r="C2" i="3" s="1"/>
  <c r="F2" i="3" s="1"/>
  <c r="G2" i="3" s="1"/>
  <c r="E45" i="15"/>
  <c r="E46" i="15" s="1"/>
  <c r="B12" i="3" s="1"/>
  <c r="C12" i="3" s="1"/>
  <c r="F12" i="3" s="1"/>
  <c r="G12" i="3" s="1"/>
  <c r="E42" i="14"/>
  <c r="E43" i="14" s="1"/>
  <c r="B11" i="3" s="1"/>
  <c r="C11" i="3" s="1"/>
  <c r="F11" i="3" s="1"/>
  <c r="G11" i="3" s="1"/>
  <c r="E44" i="13"/>
  <c r="E45" i="13" s="1"/>
  <c r="B10" i="3" s="1"/>
  <c r="C10" i="3" s="1"/>
  <c r="F10" i="3" s="1"/>
  <c r="G10" i="3" s="1"/>
  <c r="E41" i="12"/>
  <c r="E42" i="12" s="1"/>
  <c r="B9" i="3" s="1"/>
  <c r="C9" i="3" s="1"/>
  <c r="F9" i="3" s="1"/>
  <c r="G9" i="3" s="1"/>
  <c r="E44" i="11"/>
  <c r="E45" i="11" s="1"/>
  <c r="B8" i="3" s="1"/>
  <c r="C8" i="3" s="1"/>
  <c r="F8" i="3" s="1"/>
  <c r="G8" i="3" s="1"/>
  <c r="E41" i="10"/>
  <c r="E42" i="10" s="1"/>
  <c r="B7" i="3" s="1"/>
  <c r="C7" i="3" s="1"/>
  <c r="F7" i="3" s="1"/>
  <c r="G7" i="3" s="1"/>
  <c r="E44" i="9"/>
  <c r="E45" i="9" s="1"/>
  <c r="B6" i="3" s="1"/>
  <c r="C6" i="3" s="1"/>
  <c r="F6" i="3" s="1"/>
  <c r="G6" i="3" s="1"/>
  <c r="E41" i="8"/>
  <c r="E42" i="8" s="1"/>
  <c r="B5" i="3" s="1"/>
  <c r="C5" i="3" s="1"/>
  <c r="F5" i="3" s="1"/>
  <c r="G5" i="3" s="1"/>
  <c r="E42" i="7"/>
  <c r="E43" i="7" s="1"/>
  <c r="B4" i="3" s="1"/>
  <c r="C4" i="3" s="1"/>
  <c r="F4" i="3" s="1"/>
  <c r="G4" i="3" s="1"/>
  <c r="E41" i="6"/>
  <c r="E42" i="6" s="1"/>
  <c r="B3" i="3" s="1"/>
  <c r="C3" i="3" s="1"/>
  <c r="F3" i="3" s="1"/>
  <c r="G3" i="3" s="1"/>
  <c r="E74" i="2"/>
  <c r="E75" i="2" s="1"/>
</calcChain>
</file>

<file path=xl/sharedStrings.xml><?xml version="1.0" encoding="utf-8"?>
<sst xmlns="http://schemas.openxmlformats.org/spreadsheetml/2006/main" count="918" uniqueCount="94">
  <si>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</si>
  <si>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</si>
  <si>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</si>
  <si>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</si>
  <si>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</si>
  <si>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</si>
  <si>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</si>
  <si>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</si>
  <si>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</si>
  <si>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</si>
  <si>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</si>
  <si>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</si>
  <si>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</si>
  <si>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</si>
  <si>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</si>
  <si>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</si>
  <si>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</si>
  <si>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</si>
  <si>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</si>
  <si>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</si>
  <si>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</si>
  <si>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</si>
  <si>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</si>
  <si>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</si>
  <si>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</si>
  <si>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</si>
  <si>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</si>
  <si>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</si>
  <si>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</si>
  <si>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</si>
  <si>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</si>
  <si>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</si>
  <si>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</si>
  <si>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</si>
  <si>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</si>
  <si>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</si>
  <si>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</si>
  <si>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</si>
  <si>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</si>
  <si>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</si>
  <si>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</si>
  <si>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</si>
  <si>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</si>
  <si>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</si>
  <si>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</si>
  <si>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</si>
  <si>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Baratha - Superior</t>
  </si>
  <si>
    <t>Baratha - Deluxe</t>
  </si>
  <si>
    <t>Baratha - Family</t>
  </si>
  <si>
    <t>Baratha - Apartement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</si>
  <si>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</si>
  <si>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</si>
  <si>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</si>
  <si>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</si>
  <si>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</si>
  <si>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</si>
  <si>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</si>
  <si>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</si>
  <si>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</si>
  <si>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</si>
  <si>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</si>
  <si>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</si>
  <si>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</si>
  <si>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</si>
  <si>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</si>
  <si>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</si>
  <si>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</si>
  <si>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</si>
  <si>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</si>
  <si>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</si>
  <si>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Transport Bali</t>
  </si>
  <si>
    <t>Madakaripura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</si>
  <si>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</si>
  <si>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</si>
  <si>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</si>
  <si>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</si>
  <si>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</si>
  <si>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</si>
  <si>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</si>
  <si>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</si>
  <si>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</si>
  <si>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</si>
  <si>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</si>
  <si>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</si>
  <si>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Expense / Pax</t>
  </si>
  <si>
    <t>Harga / Pax</t>
  </si>
  <si>
    <t>Total Harga</t>
  </si>
  <si>
    <t>Extra Luggage</t>
  </si>
  <si>
    <t>Riverside - Lunch</t>
  </si>
  <si>
    <t>Riverside - Dinner</t>
  </si>
  <si>
    <t>Holiday inn - Extra Bed</t>
  </si>
  <si>
    <t>4 Day Ijen, Bromo &amp; Madakaripura Waterfall Expedition from Surabaya</t>
  </si>
  <si>
    <t>Price Per pax</t>
  </si>
  <si>
    <t>Medical Check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</si>
</sst>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7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6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/>
    <xf numFmtId="164" fontId="16" fillId="4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164" fontId="16" fillId="7" borderId="2" xfId="1" applyNumberFormat="1" applyFont="1" applyFill="1" applyBorder="1"/>
    <xf numFmtId="164" fontId="16" fillId="7" borderId="2" xfId="1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4" fontId="10" fillId="5" borderId="2" xfId="0" applyNumberFormat="1" applyFont="1" applyFill="1" applyBorder="1"/>
    <xf numFmtId="164" fontId="10" fillId="5" borderId="2" xfId="1" applyNumberFormat="1" applyFont="1" applyFill="1" applyBorder="1"/>
    <xf numFmtId="164" fontId="10" fillId="5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3" borderId="1" xfId="0" applyFont="1" applyFill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165" fontId="0" fillId="0" borderId="0" xfId="0" applyNumberForma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 codeName="Sheet1">
    <pageSetUpPr fitToPage="1"/>
  </sheetPr>
  <dimension ref="A1:N75"/>
  <sheetViews>
    <sheetView zoomScale="70" zoomScaleNormal="70" workbookViewId="0">
      <selection activeCell="A2" sqref="A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73</v>
      </c>
      <c r="B1" s="2" t="s">
        <v>74</v>
      </c>
      <c r="C1" s="2" t="s">
        <v>75</v>
      </c>
      <c r="D1" s="2" t="s">
        <v>76</v>
      </c>
    </row>
    <row r="2" spans="1:14" ht="27.75" customHeight="1" x14ac:dyDescent="0.2">
      <c r="A2" s="3" t="s">
        <v>91</v>
      </c>
      <c r="B2" s="3">
        <v>32</v>
      </c>
      <c r="C2" s="3">
        <v>4</v>
      </c>
      <c r="D2" s="43">
        <v>2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67</v>
      </c>
      <c r="B7" s="11" t="s">
        <v>5</v>
      </c>
      <c r="C7" s="39">
        <v>500000</v>
      </c>
      <c r="D7" s="12"/>
      <c r="E7" s="12"/>
    </row>
    <row r="8" spans="1:14" ht="22.5" customHeight="1" x14ac:dyDescent="0.2">
      <c r="A8" s="10" t="s">
        <v>68</v>
      </c>
      <c r="B8" s="11" t="s">
        <v>5</v>
      </c>
      <c r="C8" s="39">
        <v>560000</v>
      </c>
      <c r="D8" s="12"/>
      <c r="E8" s="12"/>
    </row>
    <row r="9" spans="1:14" ht="22.5" customHeight="1" x14ac:dyDescent="0.2">
      <c r="A9" s="13" t="s">
        <v>6</v>
      </c>
      <c r="B9" s="11" t="s">
        <v>5</v>
      </c>
      <c r="C9" s="39">
        <v>435000</v>
      </c>
      <c r="D9" s="12"/>
      <c r="E9" s="39">
        <f>C9*D9</f>
        <v>0</v>
      </c>
    </row>
    <row r="10" spans="1:14" ht="22.5" customHeight="1" x14ac:dyDescent="0.2">
      <c r="A10" s="13" t="s">
        <v>7</v>
      </c>
      <c r="B10" s="11" t="s">
        <v>5</v>
      </c>
      <c r="C10" s="39">
        <v>300000</v>
      </c>
      <c r="D10" s="12"/>
      <c r="E10" s="39">
        <f t="shared" ref="E10:E44" si="0">C10*D10</f>
        <v>0</v>
      </c>
    </row>
    <row r="11" spans="1:14" ht="22.5" customHeight="1" x14ac:dyDescent="0.2">
      <c r="A11" s="10" t="s">
        <v>46</v>
      </c>
      <c r="B11" s="11" t="s">
        <v>5</v>
      </c>
      <c r="C11" s="39">
        <v>250000</v>
      </c>
      <c r="D11" s="12"/>
      <c r="E11" s="39">
        <f t="shared" si="0"/>
        <v>0</v>
      </c>
    </row>
    <row r="12" spans="1:14" ht="22.5" customHeight="1" x14ac:dyDescent="0.2">
      <c r="A12" s="10" t="s">
        <v>47</v>
      </c>
      <c r="B12" s="11" t="s">
        <v>5</v>
      </c>
      <c r="C12" s="39">
        <v>275000</v>
      </c>
      <c r="D12" s="12"/>
      <c r="E12" s="39">
        <f t="shared" si="0"/>
        <v>0</v>
      </c>
    </row>
    <row r="13" spans="1:14" ht="22.5" customHeight="1" x14ac:dyDescent="0.2">
      <c r="A13" s="10" t="s">
        <v>48</v>
      </c>
      <c r="B13" s="11" t="s">
        <v>5</v>
      </c>
      <c r="C13" s="39">
        <v>450000</v>
      </c>
      <c r="D13" s="12"/>
      <c r="E13" s="39">
        <f t="shared" si="0"/>
        <v>0</v>
      </c>
    </row>
    <row r="14" spans="1:14" ht="22.5" customHeight="1" x14ac:dyDescent="0.2">
      <c r="A14" s="10" t="s">
        <v>49</v>
      </c>
      <c r="B14" s="11" t="s">
        <v>5</v>
      </c>
      <c r="C14" s="39">
        <v>450000</v>
      </c>
      <c r="D14" s="12"/>
      <c r="E14" s="39">
        <f t="shared" si="0"/>
        <v>0</v>
      </c>
    </row>
    <row r="15" spans="1:14" ht="22.5" customHeight="1" x14ac:dyDescent="0.2">
      <c r="A15" s="10" t="s">
        <v>58</v>
      </c>
      <c r="B15" s="11" t="s">
        <v>5</v>
      </c>
      <c r="C15" s="39">
        <v>337500</v>
      </c>
      <c r="D15" s="12">
        <f>ROUNDUP($D$2/2,0)</f>
        <v>1</v>
      </c>
      <c r="E15" s="39">
        <f t="shared" si="0"/>
        <v>337500</v>
      </c>
    </row>
    <row r="16" spans="1:14" ht="22.5" customHeight="1" x14ac:dyDescent="0.25">
      <c r="A16" s="10" t="s">
        <v>60</v>
      </c>
      <c r="B16" s="11" t="s">
        <v>5</v>
      </c>
      <c r="C16" s="39">
        <v>375000</v>
      </c>
      <c r="D16" s="12"/>
      <c r="E16" s="39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customHeight="1" x14ac:dyDescent="0.25">
      <c r="A17" s="10" t="s">
        <v>59</v>
      </c>
      <c r="B17" s="11" t="s">
        <v>5</v>
      </c>
      <c r="C17" s="39">
        <v>412500</v>
      </c>
      <c r="D17" s="12"/>
      <c r="E17" s="39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customHeight="1" x14ac:dyDescent="0.25">
      <c r="A18" s="10" t="s">
        <v>61</v>
      </c>
      <c r="B18" s="11" t="s">
        <v>5</v>
      </c>
      <c r="C18" s="39">
        <v>487500</v>
      </c>
      <c r="D18" s="12"/>
      <c r="E18" s="39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customHeight="1" x14ac:dyDescent="0.25">
      <c r="A19" s="10" t="s">
        <v>62</v>
      </c>
      <c r="B19" s="11" t="s">
        <v>5</v>
      </c>
      <c r="C19" s="39">
        <v>562500</v>
      </c>
      <c r="D19" s="12"/>
      <c r="E19" s="39">
        <f t="shared" si="0"/>
        <v>0</v>
      </c>
      <c r="H19" s="36"/>
      <c r="I19" s="37"/>
      <c r="J19" s="37"/>
      <c r="K19" s="38"/>
      <c r="L19" s="38"/>
      <c r="M19" s="38"/>
      <c r="N19" s="38"/>
    </row>
    <row r="20" spans="1:14" ht="22.5" customHeight="1" x14ac:dyDescent="0.3">
      <c r="A20" s="9" t="s">
        <v>8</v>
      </c>
      <c r="B20" s="7"/>
      <c r="C20" s="40"/>
      <c r="D20" s="12"/>
      <c r="E20" s="39"/>
    </row>
    <row r="21" spans="1:14" ht="22.5" customHeight="1" x14ac:dyDescent="0.2">
      <c r="A21" s="10" t="s">
        <v>55</v>
      </c>
      <c r="B21" s="11" t="s">
        <v>5</v>
      </c>
      <c r="C21" s="39">
        <v>750000</v>
      </c>
      <c r="D21" s="12">
        <f>ROUNDUP(D2/2,0)</f>
        <v>1</v>
      </c>
      <c r="E21" s="39">
        <f t="shared" si="0"/>
        <v>750000</v>
      </c>
    </row>
    <row r="22" spans="1:14" ht="22.5" customHeight="1" x14ac:dyDescent="0.2">
      <c r="A22" s="10" t="s">
        <v>56</v>
      </c>
      <c r="B22" s="11" t="s">
        <v>5</v>
      </c>
      <c r="C22" s="39">
        <v>950000</v>
      </c>
      <c r="D22" s="12"/>
      <c r="E22" s="39">
        <f t="shared" si="0"/>
        <v>0</v>
      </c>
    </row>
    <row r="23" spans="1:14" ht="22.5" customHeight="1" x14ac:dyDescent="0.2">
      <c r="A23" s="10" t="s">
        <v>57</v>
      </c>
      <c r="B23" s="11" t="s">
        <v>5</v>
      </c>
      <c r="C23" s="39">
        <v>300000</v>
      </c>
      <c r="D23" s="12"/>
      <c r="E23" s="39">
        <f t="shared" si="0"/>
        <v>0</v>
      </c>
    </row>
    <row r="24" spans="1:14" ht="22.5" customHeight="1" x14ac:dyDescent="0.3">
      <c r="A24" s="9" t="s">
        <v>9</v>
      </c>
      <c r="B24" s="7"/>
      <c r="C24" s="40"/>
      <c r="D24" s="12"/>
      <c r="E24" s="39">
        <f t="shared" si="0"/>
        <v>0</v>
      </c>
    </row>
    <row r="25" spans="1:14" ht="22.5" customHeight="1" x14ac:dyDescent="0.2">
      <c r="A25" s="13" t="s">
        <v>10</v>
      </c>
      <c r="B25" s="11" t="s">
        <v>5</v>
      </c>
      <c r="C25" s="39">
        <v>550000</v>
      </c>
      <c r="D25" s="12">
        <f>ROUNDUP($D$2/2,0)</f>
        <v>1</v>
      </c>
      <c r="E25" s="39">
        <f t="shared" si="0"/>
        <v>550000</v>
      </c>
    </row>
    <row r="26" spans="1:14" ht="22.5" customHeight="1" x14ac:dyDescent="0.2">
      <c r="A26" s="10" t="s">
        <v>90</v>
      </c>
      <c r="B26" s="11" t="s">
        <v>5</v>
      </c>
      <c r="C26" s="39">
        <v>350000</v>
      </c>
      <c r="D26" s="12"/>
      <c r="E26" s="39">
        <f t="shared" ref="E26" si="1">C26*D26</f>
        <v>0</v>
      </c>
    </row>
    <row r="27" spans="1:14" ht="22.5" customHeight="1" x14ac:dyDescent="0.2">
      <c r="A27" s="10" t="s">
        <v>63</v>
      </c>
      <c r="B27" s="11" t="s">
        <v>5</v>
      </c>
      <c r="C27" s="39">
        <v>710000</v>
      </c>
      <c r="D27" s="12"/>
      <c r="E27" s="39">
        <f t="shared" si="0"/>
        <v>0</v>
      </c>
    </row>
    <row r="28" spans="1:14" ht="22.5" customHeight="1" x14ac:dyDescent="0.3">
      <c r="A28" s="6" t="s">
        <v>11</v>
      </c>
      <c r="B28" s="7"/>
      <c r="C28" s="40"/>
      <c r="D28" s="12"/>
      <c r="E28" s="39"/>
    </row>
    <row r="29" spans="1:14" ht="22.5" customHeight="1" x14ac:dyDescent="0.3">
      <c r="A29" s="9" t="s">
        <v>12</v>
      </c>
      <c r="B29" s="7"/>
      <c r="C29" s="40"/>
      <c r="D29" s="12"/>
      <c r="E29" s="39"/>
    </row>
    <row r="30" spans="1:14" ht="22.5" customHeight="1" x14ac:dyDescent="0.2">
      <c r="A30" s="10" t="s">
        <v>53</v>
      </c>
      <c r="B30" s="11" t="s">
        <v>13</v>
      </c>
      <c r="C30" s="39">
        <v>75000</v>
      </c>
      <c r="D30" s="12">
        <f>D2</f>
        <v>2</v>
      </c>
      <c r="E30" s="39">
        <f t="shared" si="0"/>
        <v>150000</v>
      </c>
    </row>
    <row r="31" spans="1:14" ht="22.5" customHeight="1" x14ac:dyDescent="0.2">
      <c r="A31" s="13" t="s">
        <v>14</v>
      </c>
      <c r="B31" s="11" t="s">
        <v>13</v>
      </c>
      <c r="C31" s="39">
        <v>55000</v>
      </c>
      <c r="D31" s="12"/>
      <c r="E31" s="39">
        <f t="shared" si="0"/>
        <v>0</v>
      </c>
    </row>
    <row r="32" spans="1:14" ht="22.5" customHeight="1" x14ac:dyDescent="0.2">
      <c r="A32" s="10" t="s">
        <v>15</v>
      </c>
      <c r="B32" s="11" t="s">
        <v>13</v>
      </c>
      <c r="C32" s="39">
        <v>25000</v>
      </c>
      <c r="D32" s="12">
        <f>D2</f>
        <v>2</v>
      </c>
      <c r="E32" s="39">
        <f t="shared" si="0"/>
        <v>50000</v>
      </c>
    </row>
    <row r="33" spans="1:5" ht="22.5" customHeight="1" x14ac:dyDescent="0.2">
      <c r="A33" s="10" t="s">
        <v>72</v>
      </c>
      <c r="B33" s="11" t="s">
        <v>5</v>
      </c>
      <c r="C33" s="39">
        <v>250000</v>
      </c>
      <c r="D33" s="12">
        <v>1</v>
      </c>
      <c r="E33" s="39">
        <f t="shared" si="0"/>
        <v>250000</v>
      </c>
    </row>
    <row r="34" spans="1:5" ht="22.5" customHeight="1" x14ac:dyDescent="0.2">
      <c r="A34" s="13" t="s">
        <v>88</v>
      </c>
      <c r="B34" s="11" t="s">
        <v>13</v>
      </c>
      <c r="C34" s="39">
        <v>65000</v>
      </c>
      <c r="D34" s="12">
        <f>D2</f>
        <v>2</v>
      </c>
      <c r="E34" s="39">
        <f t="shared" si="0"/>
        <v>130000</v>
      </c>
    </row>
    <row r="35" spans="1:5" ht="22.5" customHeight="1" x14ac:dyDescent="0.2">
      <c r="A35" s="13" t="s">
        <v>89</v>
      </c>
      <c r="B35" s="11" t="s">
        <v>13</v>
      </c>
      <c r="C35" s="39">
        <v>65000</v>
      </c>
      <c r="D35" s="12">
        <f>D2</f>
        <v>2</v>
      </c>
      <c r="E35" s="39">
        <f t="shared" si="0"/>
        <v>130000</v>
      </c>
    </row>
    <row r="36" spans="1:5" ht="22.5" customHeight="1" x14ac:dyDescent="0.2">
      <c r="A36" s="10" t="s">
        <v>50</v>
      </c>
      <c r="B36" s="11" t="s">
        <v>13</v>
      </c>
      <c r="C36" s="39">
        <v>60000</v>
      </c>
      <c r="D36" s="12"/>
      <c r="E36" s="39">
        <f t="shared" si="0"/>
        <v>0</v>
      </c>
    </row>
    <row r="37" spans="1:5" ht="22.5" customHeight="1" x14ac:dyDescent="0.2">
      <c r="A37" s="10" t="s">
        <v>51</v>
      </c>
      <c r="B37" s="11" t="s">
        <v>13</v>
      </c>
      <c r="C37" s="39">
        <v>60000</v>
      </c>
      <c r="D37" s="12"/>
      <c r="E37" s="39">
        <f t="shared" si="0"/>
        <v>0</v>
      </c>
    </row>
    <row r="38" spans="1:5" ht="22.5" customHeight="1" x14ac:dyDescent="0.2">
      <c r="A38" s="13" t="s">
        <v>16</v>
      </c>
      <c r="B38" s="11" t="s">
        <v>5</v>
      </c>
      <c r="C38" s="39">
        <v>35000</v>
      </c>
      <c r="D38" s="12"/>
      <c r="E38" s="39">
        <f t="shared" si="0"/>
        <v>0</v>
      </c>
    </row>
    <row r="39" spans="1:5" ht="22.5" customHeight="1" x14ac:dyDescent="0.3">
      <c r="A39" s="9" t="s">
        <v>17</v>
      </c>
      <c r="B39" s="7"/>
      <c r="C39" s="41"/>
      <c r="D39" s="12"/>
      <c r="E39" s="39"/>
    </row>
    <row r="40" spans="1:5" ht="22.5" customHeight="1" x14ac:dyDescent="0.2">
      <c r="A40" s="10" t="s">
        <v>52</v>
      </c>
      <c r="B40" s="11" t="s">
        <v>13</v>
      </c>
      <c r="C40" s="39">
        <v>160000</v>
      </c>
      <c r="D40" s="12">
        <f>D2</f>
        <v>2</v>
      </c>
      <c r="E40" s="39">
        <f t="shared" si="0"/>
        <v>320000</v>
      </c>
    </row>
    <row r="41" spans="1:5" ht="22.5" customHeight="1" x14ac:dyDescent="0.2">
      <c r="A41" s="13" t="s">
        <v>18</v>
      </c>
      <c r="B41" s="11" t="s">
        <v>13</v>
      </c>
      <c r="C41" s="39">
        <v>500000</v>
      </c>
      <c r="D41" s="12">
        <f>ROUNDUP(D2/4,0)</f>
        <v>1</v>
      </c>
      <c r="E41" s="39">
        <f t="shared" si="0"/>
        <v>500000</v>
      </c>
    </row>
    <row r="42" spans="1:5" ht="22.5" customHeight="1" x14ac:dyDescent="0.3">
      <c r="A42" s="15" t="s">
        <v>19</v>
      </c>
      <c r="B42" s="7"/>
      <c r="C42" s="41"/>
      <c r="D42" s="12"/>
      <c r="E42" s="39"/>
    </row>
    <row r="43" spans="1:5" ht="22.5" customHeight="1" x14ac:dyDescent="0.2">
      <c r="A43" s="13" t="s">
        <v>20</v>
      </c>
      <c r="B43" s="11" t="s">
        <v>13</v>
      </c>
      <c r="C43" s="39">
        <v>90000</v>
      </c>
      <c r="D43" s="12">
        <f>D2</f>
        <v>2</v>
      </c>
      <c r="E43" s="39">
        <f t="shared" si="0"/>
        <v>180000</v>
      </c>
    </row>
    <row r="44" spans="1:5" ht="22.5" customHeight="1" x14ac:dyDescent="0.2">
      <c r="A44" s="10" t="s">
        <v>71</v>
      </c>
      <c r="B44" s="11" t="s">
        <v>5</v>
      </c>
      <c r="C44" s="39">
        <v>100000</v>
      </c>
      <c r="D44" s="12">
        <v>1</v>
      </c>
      <c r="E44" s="39">
        <f t="shared" si="0"/>
        <v>100000</v>
      </c>
    </row>
    <row r="45" spans="1:5" ht="22.5" customHeight="1" x14ac:dyDescent="0.3">
      <c r="A45" s="16" t="s">
        <v>21</v>
      </c>
      <c r="B45" s="7"/>
      <c r="C45" s="40"/>
      <c r="D45" s="12"/>
      <c r="E45" s="39"/>
    </row>
    <row r="46" spans="1:5" ht="22.5" customHeight="1" x14ac:dyDescent="0.3">
      <c r="A46" s="9" t="s">
        <v>22</v>
      </c>
      <c r="B46" s="7"/>
      <c r="C46" s="40"/>
      <c r="D46" s="12"/>
      <c r="E46" s="39"/>
    </row>
    <row r="47" spans="1:5" ht="22.5" customHeight="1" x14ac:dyDescent="0.2">
      <c r="A47" s="13" t="s">
        <v>23</v>
      </c>
      <c r="B47" s="11" t="s">
        <v>24</v>
      </c>
      <c r="C47" s="39">
        <v>450000</v>
      </c>
      <c r="D47" s="12">
        <f>IF($D$2=1,3, IF($D$2=2,3,0))</f>
        <v>3</v>
      </c>
      <c r="E47" s="39">
        <f t="shared" ref="E47:E72" si="2">C47*D47</f>
        <v>1350000</v>
      </c>
    </row>
    <row r="48" spans="1:5" ht="22.5" customHeight="1" x14ac:dyDescent="0.2">
      <c r="A48" s="13" t="s">
        <v>25</v>
      </c>
      <c r="B48" s="11" t="s">
        <v>24</v>
      </c>
      <c r="C48" s="39">
        <v>550000</v>
      </c>
      <c r="D48" s="12">
        <f>IF($D$2=3,3, 0)</f>
        <v>0</v>
      </c>
      <c r="E48" s="39">
        <f t="shared" si="2"/>
        <v>0</v>
      </c>
    </row>
    <row r="49" spans="1:5" ht="22.5" customHeight="1" x14ac:dyDescent="0.2">
      <c r="A49" s="10" t="s">
        <v>26</v>
      </c>
      <c r="B49" s="11" t="s">
        <v>24</v>
      </c>
      <c r="C49" s="39">
        <v>1100000</v>
      </c>
      <c r="D49" s="12">
        <f>IF((($D$2&gt;=4)*($D$2&lt;=11))=1,3,0)</f>
        <v>0</v>
      </c>
      <c r="E49" s="39">
        <f t="shared" si="2"/>
        <v>0</v>
      </c>
    </row>
    <row r="50" spans="1:5" ht="22.5" customHeight="1" x14ac:dyDescent="0.2">
      <c r="A50" s="13" t="s">
        <v>27</v>
      </c>
      <c r="B50" s="11" t="s">
        <v>24</v>
      </c>
      <c r="C50" s="39">
        <v>1300000</v>
      </c>
      <c r="D50" s="12"/>
      <c r="E50" s="39">
        <f t="shared" si="2"/>
        <v>0</v>
      </c>
    </row>
    <row r="51" spans="1:5" ht="22.5" customHeight="1" x14ac:dyDescent="0.2">
      <c r="A51" s="10" t="s">
        <v>87</v>
      </c>
      <c r="B51" s="11" t="s">
        <v>24</v>
      </c>
      <c r="C51" s="39">
        <v>2040000</v>
      </c>
      <c r="D51" s="12">
        <f>IF((($D$2&gt;=10)*($D$2&lt;=11))=1,1,0)</f>
        <v>0</v>
      </c>
      <c r="E51" s="39">
        <f t="shared" ref="E51" si="3">C51*D51</f>
        <v>0</v>
      </c>
    </row>
    <row r="52" spans="1:5" ht="22.5" customHeight="1" x14ac:dyDescent="0.3">
      <c r="A52" s="9" t="s">
        <v>28</v>
      </c>
      <c r="B52" s="7"/>
      <c r="C52" s="40"/>
      <c r="D52" s="12"/>
      <c r="E52" s="39"/>
    </row>
    <row r="53" spans="1:5" ht="22.5" customHeight="1" x14ac:dyDescent="0.2">
      <c r="A53" s="13" t="s">
        <v>29</v>
      </c>
      <c r="B53" s="11" t="s">
        <v>5</v>
      </c>
      <c r="C53" s="39">
        <v>200000</v>
      </c>
      <c r="D53" s="12">
        <f>IF((($D$2&gt;=10)*($D$2&lt;=11))=1,2,1)</f>
        <v>1</v>
      </c>
      <c r="E53" s="39">
        <f t="shared" si="2"/>
        <v>200000</v>
      </c>
    </row>
    <row r="54" spans="1:5" ht="22.5" customHeight="1" x14ac:dyDescent="0.2">
      <c r="A54" s="10" t="s">
        <v>64</v>
      </c>
      <c r="B54" s="11" t="s">
        <v>5</v>
      </c>
      <c r="C54" s="39">
        <v>300000</v>
      </c>
      <c r="D54" s="12"/>
      <c r="E54" s="39">
        <f t="shared" si="2"/>
        <v>0</v>
      </c>
    </row>
    <row r="55" spans="1:5" ht="22.5" customHeight="1" x14ac:dyDescent="0.3">
      <c r="A55" s="9" t="s">
        <v>30</v>
      </c>
      <c r="B55" s="7"/>
      <c r="C55" s="40"/>
      <c r="D55" s="12"/>
      <c r="E55" s="39">
        <f t="shared" si="2"/>
        <v>0</v>
      </c>
    </row>
    <row r="56" spans="1:5" ht="22.5" customHeight="1" x14ac:dyDescent="0.2">
      <c r="A56" s="13" t="s">
        <v>31</v>
      </c>
      <c r="B56" s="11" t="s">
        <v>32</v>
      </c>
      <c r="C56" s="39">
        <v>200000</v>
      </c>
      <c r="D56" s="12">
        <f>ROUNDUP($D$2/3,0)</f>
        <v>1</v>
      </c>
      <c r="E56" s="39">
        <f t="shared" si="2"/>
        <v>200000</v>
      </c>
    </row>
    <row r="57" spans="1:5" ht="22.5" customHeight="1" x14ac:dyDescent="0.3">
      <c r="A57" s="15" t="s">
        <v>69</v>
      </c>
      <c r="B57" s="7"/>
      <c r="C57" s="40"/>
      <c r="D57" s="12"/>
      <c r="E57" s="39">
        <f t="shared" si="2"/>
        <v>0</v>
      </c>
    </row>
    <row r="58" spans="1:5" ht="22.5" customHeight="1" x14ac:dyDescent="0.2">
      <c r="A58" s="10" t="s">
        <v>70</v>
      </c>
      <c r="B58" s="11" t="s">
        <v>32</v>
      </c>
      <c r="C58" s="39">
        <v>650000</v>
      </c>
      <c r="D58" s="12"/>
      <c r="E58" s="39">
        <f t="shared" si="2"/>
        <v>0</v>
      </c>
    </row>
    <row r="59" spans="1:5" ht="22.5" customHeight="1" x14ac:dyDescent="0.3">
      <c r="A59" s="16" t="s">
        <v>33</v>
      </c>
      <c r="B59" s="7"/>
      <c r="C59" s="40"/>
      <c r="D59" s="12"/>
      <c r="E59" s="39">
        <f t="shared" si="2"/>
        <v>0</v>
      </c>
    </row>
    <row r="60" spans="1:5" ht="22.5" customHeight="1" x14ac:dyDescent="0.3">
      <c r="A60" s="9" t="s">
        <v>34</v>
      </c>
      <c r="B60" s="7"/>
      <c r="C60" s="40"/>
      <c r="D60" s="12"/>
      <c r="E60" s="39">
        <f t="shared" si="2"/>
        <v>0</v>
      </c>
    </row>
    <row r="61" spans="1:5" ht="22.5" customHeight="1" x14ac:dyDescent="0.2">
      <c r="A61" s="13" t="s">
        <v>35</v>
      </c>
      <c r="B61" s="11" t="s">
        <v>24</v>
      </c>
      <c r="C61" s="39">
        <v>250000</v>
      </c>
      <c r="D61" s="12">
        <f>IF((($D$2&gt;=1)*($D$2&lt;=3))=1,3,0)</f>
        <v>3</v>
      </c>
      <c r="E61" s="39">
        <f t="shared" si="2"/>
        <v>750000</v>
      </c>
    </row>
    <row r="62" spans="1:5" ht="22.5" customHeight="1" x14ac:dyDescent="0.2">
      <c r="A62" s="10" t="s">
        <v>65</v>
      </c>
      <c r="B62" s="11" t="s">
        <v>24</v>
      </c>
      <c r="C62" s="39">
        <v>250000</v>
      </c>
      <c r="D62" s="12">
        <f>IF((($D$2&gt;=4)*($D$2&lt;=11))=1,3,0)</f>
        <v>0</v>
      </c>
      <c r="E62" s="39">
        <f t="shared" si="2"/>
        <v>0</v>
      </c>
    </row>
    <row r="63" spans="1:5" ht="22.5" customHeight="1" x14ac:dyDescent="0.2">
      <c r="A63" s="10" t="s">
        <v>66</v>
      </c>
      <c r="B63" s="11" t="s">
        <v>24</v>
      </c>
      <c r="C63" s="39">
        <v>200000</v>
      </c>
      <c r="D63" s="12"/>
      <c r="E63" s="39">
        <f t="shared" si="2"/>
        <v>0</v>
      </c>
    </row>
    <row r="64" spans="1:5" ht="22.5" customHeight="1" x14ac:dyDescent="0.3">
      <c r="A64" s="16" t="s">
        <v>36</v>
      </c>
      <c r="B64" s="7"/>
      <c r="C64" s="40"/>
      <c r="D64" s="12"/>
      <c r="E64" s="39">
        <f t="shared" si="2"/>
        <v>0</v>
      </c>
    </row>
    <row r="65" spans="1:5" ht="22.5" customHeight="1" x14ac:dyDescent="0.3">
      <c r="A65" s="9" t="s">
        <v>37</v>
      </c>
      <c r="B65" s="7"/>
      <c r="C65" s="40"/>
      <c r="D65" s="12"/>
      <c r="E65" s="39">
        <f t="shared" si="2"/>
        <v>0</v>
      </c>
    </row>
    <row r="66" spans="1:5" ht="22.5" customHeight="1" x14ac:dyDescent="0.2">
      <c r="A66" s="13" t="s">
        <v>38</v>
      </c>
      <c r="B66" s="11" t="s">
        <v>79</v>
      </c>
      <c r="C66" s="39">
        <v>50000</v>
      </c>
      <c r="D66" s="12">
        <f>ROUNDUP(D2*C2*3/24,0)</f>
        <v>1</v>
      </c>
      <c r="E66" s="39">
        <f t="shared" si="2"/>
        <v>50000</v>
      </c>
    </row>
    <row r="67" spans="1:5" ht="22.5" customHeight="1" x14ac:dyDescent="0.2">
      <c r="A67" s="13" t="s">
        <v>40</v>
      </c>
      <c r="B67" s="11" t="s">
        <v>39</v>
      </c>
      <c r="C67" s="39">
        <v>100000</v>
      </c>
      <c r="D67" s="12">
        <v>1</v>
      </c>
      <c r="E67" s="39">
        <f t="shared" si="2"/>
        <v>100000</v>
      </c>
    </row>
    <row r="68" spans="1:5" ht="22.5" customHeight="1" x14ac:dyDescent="0.2">
      <c r="A68" s="13" t="s">
        <v>41</v>
      </c>
      <c r="B68" s="11" t="s">
        <v>13</v>
      </c>
      <c r="C68" s="39">
        <v>60000</v>
      </c>
      <c r="D68" s="12">
        <f>D2</f>
        <v>2</v>
      </c>
      <c r="E68" s="39">
        <f t="shared" si="2"/>
        <v>120000</v>
      </c>
    </row>
    <row r="69" spans="1:5" ht="22.5" customHeight="1" x14ac:dyDescent="0.3">
      <c r="A69" s="9" t="s">
        <v>42</v>
      </c>
      <c r="B69" s="7"/>
      <c r="C69" s="14"/>
      <c r="D69" s="12"/>
      <c r="E69" s="39">
        <f t="shared" si="2"/>
        <v>0</v>
      </c>
    </row>
    <row r="70" spans="1:5" ht="22.5" customHeight="1" x14ac:dyDescent="0.2">
      <c r="A70" s="13" t="s">
        <v>43</v>
      </c>
      <c r="B70" s="11" t="s">
        <v>32</v>
      </c>
      <c r="C70" s="12">
        <v>2000000</v>
      </c>
      <c r="D70" s="12"/>
      <c r="E70" s="39">
        <f t="shared" si="2"/>
        <v>0</v>
      </c>
    </row>
    <row r="71" spans="1:5" ht="22.5" customHeight="1" x14ac:dyDescent="0.3">
      <c r="A71" s="9" t="s">
        <v>44</v>
      </c>
      <c r="B71" s="7"/>
      <c r="C71" s="14"/>
      <c r="D71" s="12"/>
      <c r="E71" s="39">
        <f t="shared" si="2"/>
        <v>0</v>
      </c>
    </row>
    <row r="72" spans="1:5" ht="22.5" customHeight="1" x14ac:dyDescent="0.2">
      <c r="A72" s="13" t="s">
        <v>45</v>
      </c>
      <c r="B72" s="11" t="s">
        <v>13</v>
      </c>
      <c r="C72" s="12">
        <v>16000</v>
      </c>
      <c r="D72" s="12"/>
      <c r="E72" s="39">
        <f t="shared" si="2"/>
        <v>0</v>
      </c>
    </row>
    <row r="73" spans="1:5" ht="22.5" customHeight="1" x14ac:dyDescent="0.2">
      <c r="A73" s="10" t="s">
        <v>54</v>
      </c>
      <c r="B73" s="11" t="s">
        <v>5</v>
      </c>
      <c r="C73" s="12">
        <v>100000</v>
      </c>
      <c r="D73" s="12"/>
      <c r="E73" s="39">
        <f>C73*D73</f>
        <v>0</v>
      </c>
    </row>
    <row r="74" spans="1:5" s="1" customFormat="1" ht="30" customHeight="1" x14ac:dyDescent="0.2">
      <c r="A74" s="18" t="s">
        <v>80</v>
      </c>
      <c r="B74" s="17"/>
      <c r="C74" s="5"/>
      <c r="D74" s="12"/>
      <c r="E74" s="42">
        <f>SUM(E7:E73)</f>
        <v>6217500</v>
      </c>
    </row>
    <row r="75" spans="1:5" ht="36" customHeight="1" x14ac:dyDescent="0.2">
      <c r="A75" s="18" t="s">
        <v>84</v>
      </c>
      <c r="B75" s="8"/>
      <c r="C75" s="8"/>
      <c r="D75" s="8"/>
      <c r="E75" s="42">
        <f>E74/D2</f>
        <v>3108750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sheetPr codeName="Sheet4"/>
  <dimension ref="A1:G12"/>
  <sheetViews>
    <sheetView zoomScale="120" zoomScaleNormal="120" workbookViewId="0">
      <selection activeCell="D2" sqref="D2"/>
    </sheetView>
  </sheetViews>
  <sheetFormatPr defaultColWidth="9"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</cols>
  <sheetData>
    <row r="1" spans="1:7" ht="15" x14ac:dyDescent="0.25">
      <c r="A1" s="19" t="s">
        <v>81</v>
      </c>
      <c r="B1" s="19" t="s">
        <v>84</v>
      </c>
      <c r="C1" s="19" t="s">
        <v>80</v>
      </c>
      <c r="D1" s="19" t="s">
        <v>85</v>
      </c>
      <c r="E1" s="19" t="s">
        <v>86</v>
      </c>
      <c r="F1" s="19" t="s">
        <v>82</v>
      </c>
      <c r="G1" s="19" t="s">
        <v>83</v>
      </c>
    </row>
    <row r="2" spans="1:7" ht="15" x14ac:dyDescent="0.25">
      <c r="A2" s="20">
        <v>1</v>
      </c>
      <c r="B2" s="21">
        <f>'1 Pax'!E42</f>
        <v>5712500</v>
      </c>
      <c r="C2" s="22">
        <f t="shared" ref="C2" si="0">B2*A2</f>
        <v>5712500</v>
      </c>
      <c r="D2" s="21">
        <v>7500000</v>
      </c>
      <c r="E2" s="21">
        <f t="shared" ref="E2" si="1">D2*A2</f>
        <v>7500000</v>
      </c>
      <c r="F2" s="21">
        <f t="shared" ref="F2" si="2">E2-C2</f>
        <v>1787500</v>
      </c>
      <c r="G2" s="21">
        <f t="shared" ref="G2" si="3">F2/E2*100</f>
        <v>23.833333333333336</v>
      </c>
    </row>
    <row r="3" spans="1:7" ht="15" x14ac:dyDescent="0.25">
      <c r="A3" s="20">
        <v>2</v>
      </c>
      <c r="B3" s="21">
        <f>'2 Pax'!E42</f>
        <v>3143750</v>
      </c>
      <c r="C3" s="22">
        <f t="shared" ref="C3:C12" si="4">B3*A3</f>
        <v>6287500</v>
      </c>
      <c r="D3" s="21">
        <v>4400000</v>
      </c>
      <c r="E3" s="21">
        <f t="shared" ref="E3:E12" si="5">D3*A3</f>
        <v>8800000</v>
      </c>
      <c r="F3" s="21">
        <f t="shared" ref="F3:F12" si="6">E3-C3</f>
        <v>2512500</v>
      </c>
      <c r="G3" s="21">
        <f t="shared" ref="G3:G12" si="7">F3/E3*100</f>
        <v>28.551136363636363</v>
      </c>
    </row>
    <row r="4" spans="1:7" ht="15" x14ac:dyDescent="0.25">
      <c r="A4" s="23">
        <v>3</v>
      </c>
      <c r="B4" s="24">
        <f>'3 Pax'!E43</f>
        <v>2562500</v>
      </c>
      <c r="C4" s="24">
        <f t="shared" si="4"/>
        <v>7687500</v>
      </c>
      <c r="D4" s="25">
        <v>4200000</v>
      </c>
      <c r="E4" s="25">
        <f t="shared" si="5"/>
        <v>12600000</v>
      </c>
      <c r="F4" s="25">
        <f t="shared" si="6"/>
        <v>4912500</v>
      </c>
      <c r="G4" s="25">
        <f t="shared" si="7"/>
        <v>38.988095238095241</v>
      </c>
    </row>
    <row r="5" spans="1:7" ht="15" x14ac:dyDescent="0.25">
      <c r="A5" s="23">
        <v>4</v>
      </c>
      <c r="B5" s="24">
        <f>'4 Pax'!E42</f>
        <v>2818750</v>
      </c>
      <c r="C5" s="24">
        <f t="shared" si="4"/>
        <v>11275000</v>
      </c>
      <c r="D5" s="25">
        <v>3900000</v>
      </c>
      <c r="E5" s="25">
        <f t="shared" si="5"/>
        <v>15600000</v>
      </c>
      <c r="F5" s="25">
        <f t="shared" si="6"/>
        <v>4325000</v>
      </c>
      <c r="G5" s="25">
        <f t="shared" si="7"/>
        <v>27.724358974358974</v>
      </c>
    </row>
    <row r="6" spans="1:7" ht="15" x14ac:dyDescent="0.25">
      <c r="A6" s="29">
        <v>5</v>
      </c>
      <c r="B6" s="30">
        <f>'5 Pax'!E45</f>
        <v>2635000</v>
      </c>
      <c r="C6" s="30">
        <f t="shared" si="4"/>
        <v>13175000</v>
      </c>
      <c r="D6" s="25">
        <v>3900000</v>
      </c>
      <c r="E6" s="31">
        <f t="shared" si="5"/>
        <v>19500000</v>
      </c>
      <c r="F6" s="31">
        <f t="shared" si="6"/>
        <v>6325000</v>
      </c>
      <c r="G6" s="31">
        <f t="shared" si="7"/>
        <v>32.435897435897438</v>
      </c>
    </row>
    <row r="7" spans="1:7" ht="15" x14ac:dyDescent="0.25">
      <c r="A7" s="29">
        <v>6</v>
      </c>
      <c r="B7" s="30">
        <f>'6 Pax'!E42</f>
        <v>2435416.6666666665</v>
      </c>
      <c r="C7" s="30">
        <f t="shared" si="4"/>
        <v>14612500</v>
      </c>
      <c r="D7" s="31">
        <v>3600000</v>
      </c>
      <c r="E7" s="31">
        <f t="shared" si="5"/>
        <v>21600000</v>
      </c>
      <c r="F7" s="31">
        <f t="shared" si="6"/>
        <v>6987500</v>
      </c>
      <c r="G7" s="31">
        <f t="shared" si="7"/>
        <v>32.349537037037038</v>
      </c>
    </row>
    <row r="8" spans="1:7" ht="15" x14ac:dyDescent="0.25">
      <c r="A8" s="29">
        <v>7</v>
      </c>
      <c r="B8" s="30">
        <f>'7 Pax'!E45</f>
        <v>2316071.4285714286</v>
      </c>
      <c r="C8" s="30">
        <f t="shared" si="4"/>
        <v>16212500</v>
      </c>
      <c r="D8" s="31">
        <v>3600000</v>
      </c>
      <c r="E8" s="31">
        <f t="shared" si="5"/>
        <v>25200000</v>
      </c>
      <c r="F8" s="31">
        <f t="shared" si="6"/>
        <v>8987500</v>
      </c>
      <c r="G8" s="31">
        <f t="shared" si="7"/>
        <v>35.664682539682538</v>
      </c>
    </row>
    <row r="9" spans="1:7" ht="15" x14ac:dyDescent="0.25">
      <c r="A9" s="32">
        <v>8</v>
      </c>
      <c r="B9" s="33">
        <f>'8 Pax'!E42</f>
        <v>2206250</v>
      </c>
      <c r="C9" s="34">
        <f t="shared" si="4"/>
        <v>17650000</v>
      </c>
      <c r="D9" s="35">
        <v>3125000</v>
      </c>
      <c r="E9" s="35">
        <f t="shared" si="5"/>
        <v>25000000</v>
      </c>
      <c r="F9" s="35">
        <f t="shared" si="6"/>
        <v>7350000</v>
      </c>
      <c r="G9" s="35">
        <f t="shared" si="7"/>
        <v>29.4</v>
      </c>
    </row>
    <row r="10" spans="1:7" ht="15" x14ac:dyDescent="0.25">
      <c r="A10" s="32">
        <v>9</v>
      </c>
      <c r="B10" s="34">
        <f>'9 Pax'!E45</f>
        <v>2172222.222222222</v>
      </c>
      <c r="C10" s="34">
        <f t="shared" si="4"/>
        <v>19550000</v>
      </c>
      <c r="D10" s="35">
        <v>3125000</v>
      </c>
      <c r="E10" s="35">
        <f t="shared" si="5"/>
        <v>28125000</v>
      </c>
      <c r="F10" s="35">
        <f t="shared" si="6"/>
        <v>8575000</v>
      </c>
      <c r="G10" s="35">
        <f t="shared" si="7"/>
        <v>30.488888888888887</v>
      </c>
    </row>
    <row r="11" spans="1:7" ht="15" x14ac:dyDescent="0.25">
      <c r="A11" s="32">
        <v>10</v>
      </c>
      <c r="B11" s="34">
        <f>'10 Pax'!E43</f>
        <v>2333750</v>
      </c>
      <c r="C11" s="34">
        <f t="shared" si="4"/>
        <v>23337500</v>
      </c>
      <c r="D11" s="35">
        <v>3125000</v>
      </c>
      <c r="E11" s="35">
        <f t="shared" si="5"/>
        <v>31250000</v>
      </c>
      <c r="F11" s="35">
        <f t="shared" si="6"/>
        <v>7912500</v>
      </c>
      <c r="G11" s="35">
        <f t="shared" si="7"/>
        <v>25.319999999999997</v>
      </c>
    </row>
    <row r="12" spans="1:7" ht="15" x14ac:dyDescent="0.25">
      <c r="A12" s="26">
        <v>11</v>
      </c>
      <c r="B12" s="27">
        <f>'11 Pax'!E46</f>
        <v>2248863.6363636362</v>
      </c>
      <c r="C12" s="27">
        <f t="shared" si="4"/>
        <v>24737500</v>
      </c>
      <c r="D12" s="28">
        <v>2975000</v>
      </c>
      <c r="E12" s="28">
        <f t="shared" si="5"/>
        <v>32725000</v>
      </c>
      <c r="F12" s="28">
        <f t="shared" si="6"/>
        <v>7987500</v>
      </c>
      <c r="G12" s="28">
        <f t="shared" si="7"/>
        <v>24.407944996180291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F2E0-6DA2-1142-AF07-545D598FE0E4}">
  <sheetPr>
    <pageSetUpPr fitToPage="1"/>
  </sheetPr>
  <dimension ref="A1:E42"/>
  <sheetViews>
    <sheetView zoomScale="70" zoomScaleNormal="70" workbookViewId="0">
      <selection activeCell="A24" sqref="A24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5" ht="27.75" customHeight="1" x14ac:dyDescent="0.2">
      <c r="A2" s="3" t="s">
        <v>91</v>
      </c>
      <c r="B2" s="3"/>
      <c r="C2" s="3">
        <v>4</v>
      </c>
      <c r="D2" s="43">
        <v>1</v>
      </c>
      <c r="E2" s="44">
        <v>7550000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58</v>
      </c>
      <c r="B7" s="11" t="s">
        <v>5</v>
      </c>
      <c r="C7" s="39">
        <v>337500</v>
      </c>
      <c r="D7" s="12">
        <f>ROUNDUP($D$2/2,0)</f>
        <v>1</v>
      </c>
      <c r="E7" s="39">
        <f t="shared" ref="E7:E25" si="0">C7*D7</f>
        <v>337500</v>
      </c>
    </row>
    <row r="8" spans="1:5" ht="22.5" customHeight="1" x14ac:dyDescent="0.3">
      <c r="A8" s="9" t="s">
        <v>8</v>
      </c>
      <c r="B8" s="7"/>
      <c r="C8" s="40"/>
      <c r="D8" s="12"/>
      <c r="E8" s="39"/>
    </row>
    <row r="9" spans="1:5" ht="22.5" customHeight="1" x14ac:dyDescent="0.2">
      <c r="A9" s="10" t="s">
        <v>55</v>
      </c>
      <c r="B9" s="11" t="s">
        <v>5</v>
      </c>
      <c r="C9" s="39">
        <v>750000</v>
      </c>
      <c r="D9" s="12">
        <f>ROUNDUP(D2/2,0)</f>
        <v>1</v>
      </c>
      <c r="E9" s="39">
        <f t="shared" si="0"/>
        <v>750000</v>
      </c>
    </row>
    <row r="10" spans="1:5" ht="22.5" customHeight="1" x14ac:dyDescent="0.3">
      <c r="A10" s="9" t="s">
        <v>9</v>
      </c>
      <c r="B10" s="7"/>
      <c r="C10" s="40"/>
      <c r="D10" s="12"/>
      <c r="E10" s="39">
        <f t="shared" si="0"/>
        <v>0</v>
      </c>
    </row>
    <row r="11" spans="1:5" ht="22.5" customHeight="1" x14ac:dyDescent="0.2">
      <c r="A11" s="13" t="s">
        <v>10</v>
      </c>
      <c r="B11" s="11" t="s">
        <v>5</v>
      </c>
      <c r="C11" s="39">
        <v>550000</v>
      </c>
      <c r="D11" s="12">
        <f>ROUNDUP($D$2/2,0)</f>
        <v>1</v>
      </c>
      <c r="E11" s="39">
        <f t="shared" si="0"/>
        <v>550000</v>
      </c>
    </row>
    <row r="12" spans="1:5" ht="22.5" customHeight="1" x14ac:dyDescent="0.3">
      <c r="A12" s="6" t="s">
        <v>11</v>
      </c>
      <c r="B12" s="7"/>
      <c r="C12" s="40"/>
      <c r="D12" s="12"/>
      <c r="E12" s="39"/>
    </row>
    <row r="13" spans="1:5" ht="22.5" customHeight="1" x14ac:dyDescent="0.3">
      <c r="A13" s="9" t="s">
        <v>12</v>
      </c>
      <c r="B13" s="7"/>
      <c r="C13" s="40"/>
      <c r="D13" s="12"/>
      <c r="E13" s="39"/>
    </row>
    <row r="14" spans="1:5" ht="22.5" customHeight="1" x14ac:dyDescent="0.2">
      <c r="A14" s="10" t="s">
        <v>53</v>
      </c>
      <c r="B14" s="11" t="s">
        <v>13</v>
      </c>
      <c r="C14" s="39">
        <v>75000</v>
      </c>
      <c r="D14" s="12">
        <f>D2</f>
        <v>1</v>
      </c>
      <c r="E14" s="39">
        <f t="shared" si="0"/>
        <v>75000</v>
      </c>
    </row>
    <row r="15" spans="1:5" ht="22.5" customHeight="1" x14ac:dyDescent="0.2">
      <c r="A15" s="10" t="s">
        <v>93</v>
      </c>
      <c r="B15" s="11" t="s">
        <v>13</v>
      </c>
      <c r="C15" s="39">
        <v>35000</v>
      </c>
      <c r="D15" s="12">
        <f>D2</f>
        <v>1</v>
      </c>
      <c r="E15" s="39">
        <f t="shared" ref="E15" si="1">C15*D15</f>
        <v>35000</v>
      </c>
    </row>
    <row r="16" spans="1:5" ht="22.5" customHeight="1" x14ac:dyDescent="0.2">
      <c r="A16" s="10" t="s">
        <v>15</v>
      </c>
      <c r="B16" s="11" t="s">
        <v>13</v>
      </c>
      <c r="C16" s="39">
        <v>25000</v>
      </c>
      <c r="D16" s="12">
        <f>D2</f>
        <v>1</v>
      </c>
      <c r="E16" s="39">
        <f t="shared" si="0"/>
        <v>25000</v>
      </c>
    </row>
    <row r="17" spans="1:5" ht="22.5" customHeight="1" x14ac:dyDescent="0.2">
      <c r="A17" s="10" t="s">
        <v>72</v>
      </c>
      <c r="B17" s="11" t="s">
        <v>5</v>
      </c>
      <c r="C17" s="39">
        <v>250000</v>
      </c>
      <c r="D17" s="12">
        <v>1</v>
      </c>
      <c r="E17" s="39">
        <f t="shared" si="0"/>
        <v>250000</v>
      </c>
    </row>
    <row r="18" spans="1:5" ht="22.5" customHeight="1" x14ac:dyDescent="0.2">
      <c r="A18" s="13" t="s">
        <v>88</v>
      </c>
      <c r="B18" s="11" t="s">
        <v>13</v>
      </c>
      <c r="C18" s="39">
        <v>65000</v>
      </c>
      <c r="D18" s="12">
        <f>D2</f>
        <v>1</v>
      </c>
      <c r="E18" s="39">
        <f t="shared" si="0"/>
        <v>65000</v>
      </c>
    </row>
    <row r="19" spans="1:5" ht="22.5" customHeight="1" x14ac:dyDescent="0.2">
      <c r="A19" s="13" t="s">
        <v>89</v>
      </c>
      <c r="B19" s="11" t="s">
        <v>13</v>
      </c>
      <c r="C19" s="39">
        <v>65000</v>
      </c>
      <c r="D19" s="12">
        <f>D2</f>
        <v>1</v>
      </c>
      <c r="E19" s="39">
        <f t="shared" si="0"/>
        <v>65000</v>
      </c>
    </row>
    <row r="20" spans="1:5" ht="22.5" customHeight="1" x14ac:dyDescent="0.3">
      <c r="A20" s="9" t="s">
        <v>17</v>
      </c>
      <c r="B20" s="7"/>
      <c r="C20" s="41"/>
      <c r="D20" s="12"/>
      <c r="E20" s="39"/>
    </row>
    <row r="21" spans="1:5" ht="22.5" customHeight="1" x14ac:dyDescent="0.2">
      <c r="A21" s="10" t="s">
        <v>52</v>
      </c>
      <c r="B21" s="11" t="s">
        <v>13</v>
      </c>
      <c r="C21" s="39">
        <v>160000</v>
      </c>
      <c r="D21" s="12">
        <f>D2</f>
        <v>1</v>
      </c>
      <c r="E21" s="39">
        <f t="shared" si="0"/>
        <v>160000</v>
      </c>
    </row>
    <row r="22" spans="1:5" ht="22.5" customHeight="1" x14ac:dyDescent="0.2">
      <c r="A22" s="13" t="s">
        <v>18</v>
      </c>
      <c r="B22" s="11" t="s">
        <v>13</v>
      </c>
      <c r="C22" s="39">
        <v>500000</v>
      </c>
      <c r="D22" s="12">
        <f>ROUNDUP(D2/4,0)</f>
        <v>1</v>
      </c>
      <c r="E22" s="39">
        <f t="shared" si="0"/>
        <v>500000</v>
      </c>
    </row>
    <row r="23" spans="1:5" ht="22.5" customHeight="1" x14ac:dyDescent="0.3">
      <c r="A23" s="15" t="s">
        <v>19</v>
      </c>
      <c r="B23" s="7"/>
      <c r="C23" s="41"/>
      <c r="D23" s="12"/>
      <c r="E23" s="39"/>
    </row>
    <row r="24" spans="1:5" ht="22.5" customHeight="1" x14ac:dyDescent="0.2">
      <c r="A24" s="13" t="s">
        <v>20</v>
      </c>
      <c r="B24" s="11" t="s">
        <v>13</v>
      </c>
      <c r="C24" s="39">
        <v>90000</v>
      </c>
      <c r="D24" s="12">
        <f>D2</f>
        <v>1</v>
      </c>
      <c r="E24" s="39">
        <f t="shared" si="0"/>
        <v>90000</v>
      </c>
    </row>
    <row r="25" spans="1:5" ht="22.5" customHeight="1" x14ac:dyDescent="0.2">
      <c r="A25" s="10" t="s">
        <v>71</v>
      </c>
      <c r="B25" s="11" t="s">
        <v>5</v>
      </c>
      <c r="C25" s="39">
        <v>100000</v>
      </c>
      <c r="D25" s="12">
        <v>1</v>
      </c>
      <c r="E25" s="39">
        <f t="shared" si="0"/>
        <v>100000</v>
      </c>
    </row>
    <row r="26" spans="1:5" ht="22.5" customHeight="1" x14ac:dyDescent="0.3">
      <c r="A26" s="16" t="s">
        <v>21</v>
      </c>
      <c r="B26" s="7"/>
      <c r="C26" s="40"/>
      <c r="D26" s="12"/>
      <c r="E26" s="39"/>
    </row>
    <row r="27" spans="1:5" ht="22.5" customHeight="1" x14ac:dyDescent="0.3">
      <c r="A27" s="9" t="s">
        <v>22</v>
      </c>
      <c r="B27" s="7"/>
      <c r="C27" s="40"/>
      <c r="D27" s="12"/>
      <c r="E27" s="39"/>
    </row>
    <row r="28" spans="1:5" ht="22.5" customHeight="1" x14ac:dyDescent="0.2">
      <c r="A28" s="13" t="s">
        <v>23</v>
      </c>
      <c r="B28" s="11" t="s">
        <v>24</v>
      </c>
      <c r="C28" s="39">
        <v>450000</v>
      </c>
      <c r="D28" s="12">
        <f>IF($D$2=1,3, IF($D$2=2,3,0))</f>
        <v>3</v>
      </c>
      <c r="E28" s="39">
        <f t="shared" ref="E28:E40" si="2">C28*D28</f>
        <v>1350000</v>
      </c>
    </row>
    <row r="29" spans="1:5" ht="22.5" customHeight="1" x14ac:dyDescent="0.3">
      <c r="A29" s="9" t="s">
        <v>28</v>
      </c>
      <c r="B29" s="7"/>
      <c r="C29" s="40"/>
      <c r="D29" s="12"/>
      <c r="E29" s="39"/>
    </row>
    <row r="30" spans="1:5" ht="22.5" customHeight="1" x14ac:dyDescent="0.2">
      <c r="A30" s="13" t="s">
        <v>29</v>
      </c>
      <c r="B30" s="11" t="s">
        <v>5</v>
      </c>
      <c r="C30" s="39">
        <v>200000</v>
      </c>
      <c r="D30" s="12">
        <f>IF((($D$2&gt;=10)*($D$2&lt;=11))=1,2,1)</f>
        <v>1</v>
      </c>
      <c r="E30" s="39">
        <f t="shared" si="2"/>
        <v>200000</v>
      </c>
    </row>
    <row r="31" spans="1:5" ht="22.5" customHeight="1" x14ac:dyDescent="0.3">
      <c r="A31" s="9" t="s">
        <v>30</v>
      </c>
      <c r="B31" s="7"/>
      <c r="C31" s="40"/>
      <c r="D31" s="12"/>
      <c r="E31" s="39">
        <f t="shared" si="2"/>
        <v>0</v>
      </c>
    </row>
    <row r="32" spans="1:5" ht="22.5" customHeight="1" x14ac:dyDescent="0.2">
      <c r="A32" s="13" t="s">
        <v>31</v>
      </c>
      <c r="B32" s="11" t="s">
        <v>32</v>
      </c>
      <c r="C32" s="39">
        <v>200000</v>
      </c>
      <c r="D32" s="12">
        <f>ROUNDUP($D$2/3,0)</f>
        <v>1</v>
      </c>
      <c r="E32" s="39">
        <f t="shared" si="2"/>
        <v>200000</v>
      </c>
    </row>
    <row r="33" spans="1:5" ht="22.5" customHeight="1" x14ac:dyDescent="0.3">
      <c r="A33" s="16" t="s">
        <v>33</v>
      </c>
      <c r="B33" s="7"/>
      <c r="C33" s="40"/>
      <c r="D33" s="12"/>
      <c r="E33" s="39">
        <f t="shared" si="2"/>
        <v>0</v>
      </c>
    </row>
    <row r="34" spans="1:5" ht="22.5" customHeight="1" x14ac:dyDescent="0.3">
      <c r="A34" s="9" t="s">
        <v>34</v>
      </c>
      <c r="B34" s="7"/>
      <c r="C34" s="40"/>
      <c r="D34" s="12"/>
      <c r="E34" s="39">
        <f t="shared" si="2"/>
        <v>0</v>
      </c>
    </row>
    <row r="35" spans="1:5" ht="22.5" customHeight="1" x14ac:dyDescent="0.2">
      <c r="A35" s="13" t="s">
        <v>35</v>
      </c>
      <c r="B35" s="11" t="s">
        <v>24</v>
      </c>
      <c r="C35" s="39">
        <v>250000</v>
      </c>
      <c r="D35" s="12">
        <f>IF((($D$2&gt;=1)*($D$2&lt;=3))=1,3,0)</f>
        <v>3</v>
      </c>
      <c r="E35" s="39">
        <f t="shared" si="2"/>
        <v>750000</v>
      </c>
    </row>
    <row r="36" spans="1:5" ht="22.5" customHeight="1" x14ac:dyDescent="0.3">
      <c r="A36" s="16" t="s">
        <v>36</v>
      </c>
      <c r="B36" s="7"/>
      <c r="C36" s="40"/>
      <c r="D36" s="12"/>
      <c r="E36" s="39">
        <f t="shared" si="2"/>
        <v>0</v>
      </c>
    </row>
    <row r="37" spans="1:5" ht="22.5" customHeight="1" x14ac:dyDescent="0.3">
      <c r="A37" s="9" t="s">
        <v>37</v>
      </c>
      <c r="B37" s="7"/>
      <c r="C37" s="40"/>
      <c r="D37" s="12"/>
      <c r="E37" s="39">
        <f t="shared" si="2"/>
        <v>0</v>
      </c>
    </row>
    <row r="38" spans="1:5" ht="22.5" customHeight="1" x14ac:dyDescent="0.2">
      <c r="A38" s="13" t="s">
        <v>38</v>
      </c>
      <c r="B38" s="11" t="s">
        <v>79</v>
      </c>
      <c r="C38" s="39">
        <v>50000</v>
      </c>
      <c r="D38" s="12">
        <f>ROUNDUP(D2*C2*3/24,0)</f>
        <v>1</v>
      </c>
      <c r="E38" s="39">
        <f t="shared" si="2"/>
        <v>50000</v>
      </c>
    </row>
    <row r="39" spans="1:5" ht="22.5" customHeight="1" x14ac:dyDescent="0.2">
      <c r="A39" s="13" t="s">
        <v>40</v>
      </c>
      <c r="B39" s="11" t="s">
        <v>39</v>
      </c>
      <c r="C39" s="39">
        <v>100000</v>
      </c>
      <c r="D39" s="12">
        <v>1</v>
      </c>
      <c r="E39" s="39">
        <f t="shared" si="2"/>
        <v>100000</v>
      </c>
    </row>
    <row r="40" spans="1:5" ht="22.5" customHeight="1" x14ac:dyDescent="0.2">
      <c r="A40" s="13" t="s">
        <v>41</v>
      </c>
      <c r="B40" s="11" t="s">
        <v>13</v>
      </c>
      <c r="C40" s="39">
        <v>60000</v>
      </c>
      <c r="D40" s="12">
        <f>D2</f>
        <v>1</v>
      </c>
      <c r="E40" s="39">
        <f t="shared" si="2"/>
        <v>60000</v>
      </c>
    </row>
    <row r="41" spans="1:5" s="1" customFormat="1" ht="30" customHeight="1" x14ac:dyDescent="0.2">
      <c r="A41" s="18" t="s">
        <v>80</v>
      </c>
      <c r="B41" s="17"/>
      <c r="C41" s="5"/>
      <c r="D41" s="12"/>
      <c r="E41" s="42">
        <f>SUM(E7:E40)</f>
        <v>5712500</v>
      </c>
    </row>
    <row r="42" spans="1:5" ht="36" customHeight="1" x14ac:dyDescent="0.2">
      <c r="A42" s="18" t="s">
        <v>84</v>
      </c>
      <c r="B42" s="8"/>
      <c r="C42" s="8"/>
      <c r="D42" s="8"/>
      <c r="E42" s="42">
        <f>E41/D2</f>
        <v>5712500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B953-22F9-0340-B599-F84026D4F535}">
  <sheetPr codeName="Sheet5">
    <pageSetUpPr fitToPage="1"/>
  </sheetPr>
  <dimension ref="A1:E42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5" ht="27.75" customHeight="1" x14ac:dyDescent="0.2">
      <c r="A2" s="3" t="s">
        <v>91</v>
      </c>
      <c r="B2" s="3"/>
      <c r="C2" s="3">
        <v>4</v>
      </c>
      <c r="D2" s="43">
        <v>2</v>
      </c>
      <c r="E2" s="44">
        <v>4450000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58</v>
      </c>
      <c r="B7" s="11" t="s">
        <v>5</v>
      </c>
      <c r="C7" s="39">
        <v>337500</v>
      </c>
      <c r="D7" s="12">
        <f>ROUNDUP($D$2/2,0)</f>
        <v>1</v>
      </c>
      <c r="E7" s="39">
        <f t="shared" ref="E7:E25" si="0">C7*D7</f>
        <v>337500</v>
      </c>
    </row>
    <row r="8" spans="1:5" ht="22.5" customHeight="1" x14ac:dyDescent="0.3">
      <c r="A8" s="9" t="s">
        <v>8</v>
      </c>
      <c r="B8" s="7"/>
      <c r="C8" s="40"/>
      <c r="D8" s="12"/>
      <c r="E8" s="39"/>
    </row>
    <row r="9" spans="1:5" ht="22.5" customHeight="1" x14ac:dyDescent="0.2">
      <c r="A9" s="10" t="s">
        <v>55</v>
      </c>
      <c r="B9" s="11" t="s">
        <v>5</v>
      </c>
      <c r="C9" s="39">
        <v>750000</v>
      </c>
      <c r="D9" s="12">
        <f>ROUNDUP(D2/2,0)</f>
        <v>1</v>
      </c>
      <c r="E9" s="39">
        <f t="shared" si="0"/>
        <v>750000</v>
      </c>
    </row>
    <row r="10" spans="1:5" ht="22.5" customHeight="1" x14ac:dyDescent="0.3">
      <c r="A10" s="9" t="s">
        <v>9</v>
      </c>
      <c r="B10" s="7"/>
      <c r="C10" s="40"/>
      <c r="D10" s="12"/>
      <c r="E10" s="39">
        <f t="shared" si="0"/>
        <v>0</v>
      </c>
    </row>
    <row r="11" spans="1:5" ht="22.5" customHeight="1" x14ac:dyDescent="0.2">
      <c r="A11" s="13" t="s">
        <v>10</v>
      </c>
      <c r="B11" s="11" t="s">
        <v>5</v>
      </c>
      <c r="C11" s="39">
        <v>550000</v>
      </c>
      <c r="D11" s="12">
        <f>ROUNDUP($D$2/2,0)</f>
        <v>1</v>
      </c>
      <c r="E11" s="39">
        <f t="shared" si="0"/>
        <v>550000</v>
      </c>
    </row>
    <row r="12" spans="1:5" ht="22.5" customHeight="1" x14ac:dyDescent="0.3">
      <c r="A12" s="6" t="s">
        <v>11</v>
      </c>
      <c r="B12" s="7"/>
      <c r="C12" s="40"/>
      <c r="D12" s="12"/>
      <c r="E12" s="39"/>
    </row>
    <row r="13" spans="1:5" ht="22.5" customHeight="1" x14ac:dyDescent="0.3">
      <c r="A13" s="9" t="s">
        <v>12</v>
      </c>
      <c r="B13" s="7"/>
      <c r="C13" s="40"/>
      <c r="D13" s="12"/>
      <c r="E13" s="39"/>
    </row>
    <row r="14" spans="1:5" ht="22.5" customHeight="1" x14ac:dyDescent="0.2">
      <c r="A14" s="10" t="s">
        <v>53</v>
      </c>
      <c r="B14" s="11" t="s">
        <v>13</v>
      </c>
      <c r="C14" s="39">
        <v>75000</v>
      </c>
      <c r="D14" s="12">
        <f>D2</f>
        <v>2</v>
      </c>
      <c r="E14" s="39">
        <f t="shared" si="0"/>
        <v>150000</v>
      </c>
    </row>
    <row r="15" spans="1:5" ht="22.5" customHeight="1" x14ac:dyDescent="0.2">
      <c r="A15" s="10" t="s">
        <v>93</v>
      </c>
      <c r="B15" s="11" t="s">
        <v>13</v>
      </c>
      <c r="C15" s="39">
        <v>35000</v>
      </c>
      <c r="D15" s="12">
        <f>D2</f>
        <v>2</v>
      </c>
      <c r="E15" s="39">
        <f t="shared" si="0"/>
        <v>70000</v>
      </c>
    </row>
    <row r="16" spans="1:5" ht="22.5" customHeight="1" x14ac:dyDescent="0.2">
      <c r="A16" s="10" t="s">
        <v>15</v>
      </c>
      <c r="B16" s="11" t="s">
        <v>13</v>
      </c>
      <c r="C16" s="39">
        <v>25000</v>
      </c>
      <c r="D16" s="12">
        <f>D2</f>
        <v>2</v>
      </c>
      <c r="E16" s="39">
        <f t="shared" si="0"/>
        <v>50000</v>
      </c>
    </row>
    <row r="17" spans="1:5" ht="22.5" customHeight="1" x14ac:dyDescent="0.2">
      <c r="A17" s="10" t="s">
        <v>72</v>
      </c>
      <c r="B17" s="11" t="s">
        <v>5</v>
      </c>
      <c r="C17" s="39">
        <v>250000</v>
      </c>
      <c r="D17" s="12">
        <v>1</v>
      </c>
      <c r="E17" s="39">
        <f t="shared" si="0"/>
        <v>250000</v>
      </c>
    </row>
    <row r="18" spans="1:5" ht="22.5" customHeight="1" x14ac:dyDescent="0.2">
      <c r="A18" s="13" t="s">
        <v>88</v>
      </c>
      <c r="B18" s="11" t="s">
        <v>13</v>
      </c>
      <c r="C18" s="39">
        <v>65000</v>
      </c>
      <c r="D18" s="12">
        <f>D2</f>
        <v>2</v>
      </c>
      <c r="E18" s="39">
        <f t="shared" si="0"/>
        <v>130000</v>
      </c>
    </row>
    <row r="19" spans="1:5" ht="22.5" customHeight="1" x14ac:dyDescent="0.2">
      <c r="A19" s="13" t="s">
        <v>89</v>
      </c>
      <c r="B19" s="11" t="s">
        <v>13</v>
      </c>
      <c r="C19" s="39">
        <v>65000</v>
      </c>
      <c r="D19" s="12">
        <f>D2</f>
        <v>2</v>
      </c>
      <c r="E19" s="39">
        <f t="shared" si="0"/>
        <v>130000</v>
      </c>
    </row>
    <row r="20" spans="1:5" ht="22.5" customHeight="1" x14ac:dyDescent="0.3">
      <c r="A20" s="9" t="s">
        <v>17</v>
      </c>
      <c r="B20" s="7"/>
      <c r="C20" s="41"/>
      <c r="D20" s="12"/>
      <c r="E20" s="39"/>
    </row>
    <row r="21" spans="1:5" ht="22.5" customHeight="1" x14ac:dyDescent="0.2">
      <c r="A21" s="10" t="s">
        <v>52</v>
      </c>
      <c r="B21" s="11" t="s">
        <v>13</v>
      </c>
      <c r="C21" s="39">
        <v>160000</v>
      </c>
      <c r="D21" s="12">
        <f>D2</f>
        <v>2</v>
      </c>
      <c r="E21" s="39">
        <f t="shared" si="0"/>
        <v>320000</v>
      </c>
    </row>
    <row r="22" spans="1:5" ht="22.5" customHeight="1" x14ac:dyDescent="0.2">
      <c r="A22" s="13" t="s">
        <v>18</v>
      </c>
      <c r="B22" s="11" t="s">
        <v>13</v>
      </c>
      <c r="C22" s="39">
        <v>500000</v>
      </c>
      <c r="D22" s="12">
        <f>ROUNDUP(D2/4,0)</f>
        <v>1</v>
      </c>
      <c r="E22" s="39">
        <f t="shared" si="0"/>
        <v>500000</v>
      </c>
    </row>
    <row r="23" spans="1:5" ht="22.5" customHeight="1" x14ac:dyDescent="0.3">
      <c r="A23" s="15" t="s">
        <v>19</v>
      </c>
      <c r="B23" s="7"/>
      <c r="C23" s="41"/>
      <c r="D23" s="12"/>
      <c r="E23" s="39"/>
    </row>
    <row r="24" spans="1:5" ht="22.5" customHeight="1" x14ac:dyDescent="0.2">
      <c r="A24" s="13" t="s">
        <v>20</v>
      </c>
      <c r="B24" s="11" t="s">
        <v>13</v>
      </c>
      <c r="C24" s="39">
        <v>90000</v>
      </c>
      <c r="D24" s="12">
        <f>D2</f>
        <v>2</v>
      </c>
      <c r="E24" s="39">
        <f t="shared" si="0"/>
        <v>180000</v>
      </c>
    </row>
    <row r="25" spans="1:5" ht="22.5" customHeight="1" x14ac:dyDescent="0.2">
      <c r="A25" s="10" t="s">
        <v>71</v>
      </c>
      <c r="B25" s="11" t="s">
        <v>5</v>
      </c>
      <c r="C25" s="39">
        <v>100000</v>
      </c>
      <c r="D25" s="12">
        <v>1</v>
      </c>
      <c r="E25" s="39">
        <f t="shared" si="0"/>
        <v>100000</v>
      </c>
    </row>
    <row r="26" spans="1:5" ht="22.5" customHeight="1" x14ac:dyDescent="0.3">
      <c r="A26" s="16" t="s">
        <v>21</v>
      </c>
      <c r="B26" s="7"/>
      <c r="C26" s="40"/>
      <c r="D26" s="12"/>
      <c r="E26" s="39"/>
    </row>
    <row r="27" spans="1:5" ht="22.5" customHeight="1" x14ac:dyDescent="0.3">
      <c r="A27" s="9" t="s">
        <v>22</v>
      </c>
      <c r="B27" s="7"/>
      <c r="C27" s="40"/>
      <c r="D27" s="12"/>
      <c r="E27" s="39"/>
    </row>
    <row r="28" spans="1:5" ht="22.5" customHeight="1" x14ac:dyDescent="0.2">
      <c r="A28" s="13" t="s">
        <v>23</v>
      </c>
      <c r="B28" s="11" t="s">
        <v>24</v>
      </c>
      <c r="C28" s="39">
        <v>450000</v>
      </c>
      <c r="D28" s="12">
        <f>IF($D$2=1,3, IF($D$2=2,3,0))</f>
        <v>3</v>
      </c>
      <c r="E28" s="39">
        <f t="shared" ref="E28:E40" si="1">C28*D28</f>
        <v>1350000</v>
      </c>
    </row>
    <row r="29" spans="1:5" ht="22.5" customHeight="1" x14ac:dyDescent="0.3">
      <c r="A29" s="9" t="s">
        <v>28</v>
      </c>
      <c r="B29" s="7"/>
      <c r="C29" s="40"/>
      <c r="D29" s="12"/>
      <c r="E29" s="39"/>
    </row>
    <row r="30" spans="1:5" ht="22.5" customHeight="1" x14ac:dyDescent="0.2">
      <c r="A30" s="13" t="s">
        <v>29</v>
      </c>
      <c r="B30" s="11" t="s">
        <v>5</v>
      </c>
      <c r="C30" s="39">
        <v>200000</v>
      </c>
      <c r="D30" s="12">
        <f>IF((($D$2&gt;=10)*($D$2&lt;=11))=1,2,1)</f>
        <v>1</v>
      </c>
      <c r="E30" s="39">
        <f t="shared" si="1"/>
        <v>200000</v>
      </c>
    </row>
    <row r="31" spans="1:5" ht="22.5" customHeight="1" x14ac:dyDescent="0.3">
      <c r="A31" s="9" t="s">
        <v>30</v>
      </c>
      <c r="B31" s="7"/>
      <c r="C31" s="40"/>
      <c r="D31" s="12"/>
      <c r="E31" s="39">
        <f t="shared" si="1"/>
        <v>0</v>
      </c>
    </row>
    <row r="32" spans="1:5" ht="22.5" customHeight="1" x14ac:dyDescent="0.2">
      <c r="A32" s="13" t="s">
        <v>31</v>
      </c>
      <c r="B32" s="11" t="s">
        <v>32</v>
      </c>
      <c r="C32" s="39">
        <v>200000</v>
      </c>
      <c r="D32" s="12">
        <f>ROUNDUP($D$2/3,0)</f>
        <v>1</v>
      </c>
      <c r="E32" s="39">
        <f t="shared" si="1"/>
        <v>200000</v>
      </c>
    </row>
    <row r="33" spans="1:5" ht="22.5" customHeight="1" x14ac:dyDescent="0.3">
      <c r="A33" s="16" t="s">
        <v>33</v>
      </c>
      <c r="B33" s="7"/>
      <c r="C33" s="40"/>
      <c r="D33" s="12"/>
      <c r="E33" s="39">
        <f t="shared" si="1"/>
        <v>0</v>
      </c>
    </row>
    <row r="34" spans="1:5" ht="22.5" customHeight="1" x14ac:dyDescent="0.3">
      <c r="A34" s="9" t="s">
        <v>34</v>
      </c>
      <c r="B34" s="7"/>
      <c r="C34" s="40"/>
      <c r="D34" s="12"/>
      <c r="E34" s="39">
        <f t="shared" si="1"/>
        <v>0</v>
      </c>
    </row>
    <row r="35" spans="1:5" ht="22.5" customHeight="1" x14ac:dyDescent="0.2">
      <c r="A35" s="13" t="s">
        <v>35</v>
      </c>
      <c r="B35" s="11" t="s">
        <v>24</v>
      </c>
      <c r="C35" s="39">
        <v>250000</v>
      </c>
      <c r="D35" s="12">
        <f>IF((($D$2&gt;=1)*($D$2&lt;=3))=1,3,0)</f>
        <v>3</v>
      </c>
      <c r="E35" s="39">
        <f t="shared" si="1"/>
        <v>750000</v>
      </c>
    </row>
    <row r="36" spans="1:5" ht="22.5" customHeight="1" x14ac:dyDescent="0.3">
      <c r="A36" s="16" t="s">
        <v>36</v>
      </c>
      <c r="B36" s="7"/>
      <c r="C36" s="40"/>
      <c r="D36" s="12"/>
      <c r="E36" s="39">
        <f t="shared" si="1"/>
        <v>0</v>
      </c>
    </row>
    <row r="37" spans="1:5" ht="22.5" customHeight="1" x14ac:dyDescent="0.3">
      <c r="A37" s="9" t="s">
        <v>37</v>
      </c>
      <c r="B37" s="7"/>
      <c r="C37" s="40"/>
      <c r="D37" s="12"/>
      <c r="E37" s="39">
        <f t="shared" si="1"/>
        <v>0</v>
      </c>
    </row>
    <row r="38" spans="1:5" ht="22.5" customHeight="1" x14ac:dyDescent="0.2">
      <c r="A38" s="13" t="s">
        <v>38</v>
      </c>
      <c r="B38" s="11" t="s">
        <v>79</v>
      </c>
      <c r="C38" s="39">
        <v>50000</v>
      </c>
      <c r="D38" s="12">
        <f>ROUNDUP(D2*C2*3/24,0)</f>
        <v>1</v>
      </c>
      <c r="E38" s="39">
        <f t="shared" si="1"/>
        <v>50000</v>
      </c>
    </row>
    <row r="39" spans="1:5" ht="22.5" customHeight="1" x14ac:dyDescent="0.2">
      <c r="A39" s="13" t="s">
        <v>40</v>
      </c>
      <c r="B39" s="11" t="s">
        <v>39</v>
      </c>
      <c r="C39" s="39">
        <v>100000</v>
      </c>
      <c r="D39" s="12">
        <v>1</v>
      </c>
      <c r="E39" s="39">
        <f t="shared" si="1"/>
        <v>100000</v>
      </c>
    </row>
    <row r="40" spans="1:5" ht="22.5" customHeight="1" x14ac:dyDescent="0.2">
      <c r="A40" s="13" t="s">
        <v>41</v>
      </c>
      <c r="B40" s="11" t="s">
        <v>13</v>
      </c>
      <c r="C40" s="39">
        <v>60000</v>
      </c>
      <c r="D40" s="12">
        <f>D2</f>
        <v>2</v>
      </c>
      <c r="E40" s="39">
        <f t="shared" si="1"/>
        <v>120000</v>
      </c>
    </row>
    <row r="41" spans="1:5" s="1" customFormat="1" ht="30" customHeight="1" x14ac:dyDescent="0.2">
      <c r="A41" s="18" t="s">
        <v>80</v>
      </c>
      <c r="B41" s="17"/>
      <c r="C41" s="5"/>
      <c r="D41" s="12"/>
      <c r="E41" s="42">
        <f>SUM(E7:E40)</f>
        <v>6287500</v>
      </c>
    </row>
    <row r="42" spans="1:5" ht="36" customHeight="1" x14ac:dyDescent="0.2">
      <c r="A42" s="18" t="s">
        <v>84</v>
      </c>
      <c r="B42" s="8"/>
      <c r="C42" s="8"/>
      <c r="D42" s="8"/>
      <c r="E42" s="42">
        <f>E41/D2</f>
        <v>3143750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122F-A3CA-174A-BA80-090DA684E249}">
  <sheetPr codeName="Sheet6">
    <pageSetUpPr fitToPage="1"/>
  </sheetPr>
  <dimension ref="A1:N46"/>
  <sheetViews>
    <sheetView topLeftCell="A26" zoomScale="90" zoomScaleNormal="90" workbookViewId="0">
      <selection activeCell="E46" sqref="E45:E46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14" ht="27.75" customHeight="1" x14ac:dyDescent="0.2">
      <c r="A2" s="3" t="s">
        <v>91</v>
      </c>
      <c r="B2" s="3"/>
      <c r="C2" s="3">
        <v>4</v>
      </c>
      <c r="D2" s="43">
        <v>3</v>
      </c>
      <c r="E2" s="44">
        <v>4250000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5">
      <c r="A7" s="10" t="s">
        <v>62</v>
      </c>
      <c r="B7" s="11" t="s">
        <v>5</v>
      </c>
      <c r="C7" s="39">
        <v>562500</v>
      </c>
      <c r="D7" s="12">
        <v>1</v>
      </c>
      <c r="E7" s="39">
        <f t="shared" ref="E7:E26" si="0">C7*D7</f>
        <v>562500</v>
      </c>
      <c r="H7" s="36"/>
      <c r="I7" s="37"/>
      <c r="J7" s="37"/>
      <c r="K7" s="38"/>
      <c r="L7" s="38"/>
      <c r="M7" s="38"/>
      <c r="N7" s="38"/>
    </row>
    <row r="8" spans="1:14" ht="22.5" customHeight="1" x14ac:dyDescent="0.3">
      <c r="A8" s="9" t="s">
        <v>8</v>
      </c>
      <c r="B8" s="7"/>
      <c r="C8" s="40"/>
      <c r="D8" s="12"/>
      <c r="E8" s="39"/>
    </row>
    <row r="9" spans="1:14" ht="22.5" customHeight="1" x14ac:dyDescent="0.2">
      <c r="A9" s="10" t="s">
        <v>56</v>
      </c>
      <c r="B9" s="11" t="s">
        <v>5</v>
      </c>
      <c r="C9" s="39">
        <v>950000</v>
      </c>
      <c r="D9" s="12">
        <v>1</v>
      </c>
      <c r="E9" s="39">
        <f t="shared" si="0"/>
        <v>950000</v>
      </c>
    </row>
    <row r="10" spans="1:14" ht="22.5" customHeight="1" x14ac:dyDescent="0.3">
      <c r="A10" s="9" t="s">
        <v>9</v>
      </c>
      <c r="B10" s="7"/>
      <c r="C10" s="40"/>
      <c r="D10" s="12"/>
      <c r="E10" s="39">
        <f t="shared" si="0"/>
        <v>0</v>
      </c>
    </row>
    <row r="11" spans="1:14" ht="22.5" customHeight="1" x14ac:dyDescent="0.2">
      <c r="A11" s="13" t="s">
        <v>10</v>
      </c>
      <c r="B11" s="11" t="s">
        <v>5</v>
      </c>
      <c r="C11" s="39">
        <v>550000</v>
      </c>
      <c r="D11" s="12">
        <v>1</v>
      </c>
      <c r="E11" s="39">
        <f t="shared" si="0"/>
        <v>550000</v>
      </c>
    </row>
    <row r="12" spans="1:14" ht="22.5" customHeight="1" x14ac:dyDescent="0.2">
      <c r="A12" s="10" t="s">
        <v>90</v>
      </c>
      <c r="B12" s="11" t="s">
        <v>5</v>
      </c>
      <c r="C12" s="39">
        <v>350000</v>
      </c>
      <c r="D12" s="12">
        <v>1</v>
      </c>
      <c r="E12" s="39">
        <f t="shared" ref="E12" si="1">C12*D12</f>
        <v>350000</v>
      </c>
    </row>
    <row r="13" spans="1:14" ht="22.5" customHeight="1" x14ac:dyDescent="0.3">
      <c r="A13" s="6" t="s">
        <v>11</v>
      </c>
      <c r="B13" s="7"/>
      <c r="C13" s="40"/>
      <c r="D13" s="12"/>
      <c r="E13" s="39"/>
    </row>
    <row r="14" spans="1:14" ht="22.5" customHeight="1" x14ac:dyDescent="0.3">
      <c r="A14" s="9" t="s">
        <v>12</v>
      </c>
      <c r="B14" s="7"/>
      <c r="C14" s="40"/>
      <c r="D14" s="12"/>
      <c r="E14" s="39"/>
    </row>
    <row r="15" spans="1:14" ht="22.5" customHeight="1" x14ac:dyDescent="0.2">
      <c r="A15" s="10" t="s">
        <v>53</v>
      </c>
      <c r="B15" s="11" t="s">
        <v>13</v>
      </c>
      <c r="C15" s="39">
        <v>75000</v>
      </c>
      <c r="D15" s="12">
        <f>D2</f>
        <v>3</v>
      </c>
      <c r="E15" s="39">
        <f t="shared" si="0"/>
        <v>225000</v>
      </c>
    </row>
    <row r="16" spans="1:14" ht="22.5" customHeight="1" x14ac:dyDescent="0.2">
      <c r="A16" s="10" t="s">
        <v>93</v>
      </c>
      <c r="B16" s="11" t="s">
        <v>13</v>
      </c>
      <c r="C16" s="39">
        <v>35000</v>
      </c>
      <c r="D16" s="12">
        <f>D2</f>
        <v>3</v>
      </c>
      <c r="E16" s="39">
        <f t="shared" si="0"/>
        <v>105000</v>
      </c>
    </row>
    <row r="17" spans="1:5" ht="22.5" customHeight="1" x14ac:dyDescent="0.2">
      <c r="A17" s="10" t="s">
        <v>15</v>
      </c>
      <c r="B17" s="11" t="s">
        <v>13</v>
      </c>
      <c r="C17" s="39">
        <v>25000</v>
      </c>
      <c r="D17" s="12">
        <f>D2</f>
        <v>3</v>
      </c>
      <c r="E17" s="39">
        <f t="shared" si="0"/>
        <v>75000</v>
      </c>
    </row>
    <row r="18" spans="1:5" ht="22.5" customHeight="1" x14ac:dyDescent="0.2">
      <c r="A18" s="10" t="s">
        <v>72</v>
      </c>
      <c r="B18" s="11" t="s">
        <v>5</v>
      </c>
      <c r="C18" s="39">
        <v>250000</v>
      </c>
      <c r="D18" s="12">
        <v>1</v>
      </c>
      <c r="E18" s="39">
        <f t="shared" si="0"/>
        <v>250000</v>
      </c>
    </row>
    <row r="19" spans="1:5" ht="22.5" customHeight="1" x14ac:dyDescent="0.2">
      <c r="A19" s="13" t="s">
        <v>88</v>
      </c>
      <c r="B19" s="11" t="s">
        <v>13</v>
      </c>
      <c r="C19" s="39">
        <v>65000</v>
      </c>
      <c r="D19" s="12">
        <f>D2</f>
        <v>3</v>
      </c>
      <c r="E19" s="39">
        <f t="shared" si="0"/>
        <v>195000</v>
      </c>
    </row>
    <row r="20" spans="1:5" ht="22.5" customHeight="1" x14ac:dyDescent="0.2">
      <c r="A20" s="13" t="s">
        <v>89</v>
      </c>
      <c r="B20" s="11" t="s">
        <v>13</v>
      </c>
      <c r="C20" s="39">
        <v>65000</v>
      </c>
      <c r="D20" s="12">
        <f>D2</f>
        <v>3</v>
      </c>
      <c r="E20" s="39">
        <f t="shared" si="0"/>
        <v>195000</v>
      </c>
    </row>
    <row r="21" spans="1:5" ht="22.5" customHeight="1" x14ac:dyDescent="0.3">
      <c r="A21" s="9" t="s">
        <v>17</v>
      </c>
      <c r="B21" s="7"/>
      <c r="C21" s="41"/>
      <c r="D21" s="12"/>
      <c r="E21" s="39"/>
    </row>
    <row r="22" spans="1:5" ht="22.5" customHeight="1" x14ac:dyDescent="0.2">
      <c r="A22" s="10" t="s">
        <v>52</v>
      </c>
      <c r="B22" s="11" t="s">
        <v>13</v>
      </c>
      <c r="C22" s="39">
        <v>160000</v>
      </c>
      <c r="D22" s="12">
        <f>D2</f>
        <v>3</v>
      </c>
      <c r="E22" s="39">
        <f t="shared" si="0"/>
        <v>480000</v>
      </c>
    </row>
    <row r="23" spans="1:5" ht="22.5" customHeight="1" x14ac:dyDescent="0.2">
      <c r="A23" s="13" t="s">
        <v>18</v>
      </c>
      <c r="B23" s="11" t="s">
        <v>13</v>
      </c>
      <c r="C23" s="39">
        <v>500000</v>
      </c>
      <c r="D23" s="12">
        <f>ROUNDUP(D2/4,0)</f>
        <v>1</v>
      </c>
      <c r="E23" s="39">
        <f t="shared" si="0"/>
        <v>500000</v>
      </c>
    </row>
    <row r="24" spans="1:5" ht="22.5" customHeight="1" x14ac:dyDescent="0.3">
      <c r="A24" s="15" t="s">
        <v>19</v>
      </c>
      <c r="B24" s="7"/>
      <c r="C24" s="41"/>
      <c r="D24" s="12"/>
      <c r="E24" s="39"/>
    </row>
    <row r="25" spans="1:5" ht="22.5" customHeight="1" x14ac:dyDescent="0.2">
      <c r="A25" s="13" t="s">
        <v>20</v>
      </c>
      <c r="B25" s="11" t="s">
        <v>13</v>
      </c>
      <c r="C25" s="39">
        <v>90000</v>
      </c>
      <c r="D25" s="12">
        <f>D2</f>
        <v>3</v>
      </c>
      <c r="E25" s="39">
        <f t="shared" si="0"/>
        <v>270000</v>
      </c>
    </row>
    <row r="26" spans="1:5" ht="22.5" customHeight="1" x14ac:dyDescent="0.2">
      <c r="A26" s="10" t="s">
        <v>71</v>
      </c>
      <c r="B26" s="11" t="s">
        <v>5</v>
      </c>
      <c r="C26" s="39">
        <v>100000</v>
      </c>
      <c r="D26" s="12">
        <v>1</v>
      </c>
      <c r="E26" s="39">
        <f t="shared" si="0"/>
        <v>100000</v>
      </c>
    </row>
    <row r="27" spans="1:5" ht="22.5" customHeight="1" x14ac:dyDescent="0.3">
      <c r="A27" s="16" t="s">
        <v>21</v>
      </c>
      <c r="B27" s="7"/>
      <c r="C27" s="40"/>
      <c r="D27" s="12"/>
      <c r="E27" s="39"/>
    </row>
    <row r="28" spans="1:5" ht="22.5" customHeight="1" x14ac:dyDescent="0.3">
      <c r="A28" s="9" t="s">
        <v>22</v>
      </c>
      <c r="B28" s="7"/>
      <c r="C28" s="40"/>
      <c r="D28" s="12"/>
      <c r="E28" s="39"/>
    </row>
    <row r="29" spans="1:5" ht="22.5" customHeight="1" x14ac:dyDescent="0.2">
      <c r="A29" s="13" t="s">
        <v>23</v>
      </c>
      <c r="B29" s="11" t="s">
        <v>24</v>
      </c>
      <c r="C29" s="39">
        <v>450000</v>
      </c>
      <c r="D29" s="12">
        <v>3</v>
      </c>
      <c r="E29" s="39">
        <f t="shared" ref="E29:E41" si="2">C29*D29</f>
        <v>1350000</v>
      </c>
    </row>
    <row r="30" spans="1:5" ht="22.5" customHeight="1" x14ac:dyDescent="0.3">
      <c r="A30" s="9" t="s">
        <v>28</v>
      </c>
      <c r="B30" s="7"/>
      <c r="C30" s="40"/>
      <c r="D30" s="12"/>
      <c r="E30" s="39"/>
    </row>
    <row r="31" spans="1:5" ht="22.5" customHeight="1" x14ac:dyDescent="0.2">
      <c r="A31" s="13" t="s">
        <v>29</v>
      </c>
      <c r="B31" s="11" t="s">
        <v>5</v>
      </c>
      <c r="C31" s="39">
        <v>200000</v>
      </c>
      <c r="D31" s="12">
        <f>IF((($D$2&gt;=10)*($D$2&lt;=11))=1,2,1)</f>
        <v>1</v>
      </c>
      <c r="E31" s="39">
        <f t="shared" si="2"/>
        <v>200000</v>
      </c>
    </row>
    <row r="32" spans="1:5" ht="22.5" customHeight="1" x14ac:dyDescent="0.3">
      <c r="A32" s="9" t="s">
        <v>30</v>
      </c>
      <c r="B32" s="7"/>
      <c r="C32" s="40"/>
      <c r="D32" s="12"/>
      <c r="E32" s="39">
        <f t="shared" si="2"/>
        <v>0</v>
      </c>
    </row>
    <row r="33" spans="1:5" ht="22.5" customHeight="1" x14ac:dyDescent="0.2">
      <c r="A33" s="13" t="s">
        <v>31</v>
      </c>
      <c r="B33" s="11" t="s">
        <v>32</v>
      </c>
      <c r="C33" s="39">
        <v>200000</v>
      </c>
      <c r="D33" s="12">
        <f>ROUNDUP($D$2/3,0)</f>
        <v>1</v>
      </c>
      <c r="E33" s="39">
        <f t="shared" si="2"/>
        <v>200000</v>
      </c>
    </row>
    <row r="34" spans="1:5" ht="22.5" customHeight="1" x14ac:dyDescent="0.3">
      <c r="A34" s="16" t="s">
        <v>33</v>
      </c>
      <c r="B34" s="7"/>
      <c r="C34" s="40"/>
      <c r="D34" s="12"/>
      <c r="E34" s="39">
        <f t="shared" si="2"/>
        <v>0</v>
      </c>
    </row>
    <row r="35" spans="1:5" ht="22.5" customHeight="1" x14ac:dyDescent="0.3">
      <c r="A35" s="9" t="s">
        <v>34</v>
      </c>
      <c r="B35" s="7"/>
      <c r="C35" s="40"/>
      <c r="D35" s="12"/>
      <c r="E35" s="39">
        <f t="shared" si="2"/>
        <v>0</v>
      </c>
    </row>
    <row r="36" spans="1:5" ht="22.5" customHeight="1" x14ac:dyDescent="0.2">
      <c r="A36" s="13" t="s">
        <v>35</v>
      </c>
      <c r="B36" s="11" t="s">
        <v>24</v>
      </c>
      <c r="C36" s="39">
        <v>250000</v>
      </c>
      <c r="D36" s="12">
        <f>IF((($D$2&gt;=1)*($D$2&lt;=3))=1,3,0)</f>
        <v>3</v>
      </c>
      <c r="E36" s="39">
        <f t="shared" si="2"/>
        <v>750000</v>
      </c>
    </row>
    <row r="37" spans="1:5" ht="22.5" customHeight="1" x14ac:dyDescent="0.3">
      <c r="A37" s="16" t="s">
        <v>36</v>
      </c>
      <c r="B37" s="7"/>
      <c r="C37" s="40"/>
      <c r="D37" s="12"/>
      <c r="E37" s="39">
        <f t="shared" si="2"/>
        <v>0</v>
      </c>
    </row>
    <row r="38" spans="1:5" ht="22.5" customHeight="1" x14ac:dyDescent="0.3">
      <c r="A38" s="9" t="s">
        <v>37</v>
      </c>
      <c r="B38" s="7"/>
      <c r="C38" s="40"/>
      <c r="D38" s="12"/>
      <c r="E38" s="39">
        <f t="shared" si="2"/>
        <v>0</v>
      </c>
    </row>
    <row r="39" spans="1:5" ht="22.5" customHeight="1" x14ac:dyDescent="0.2">
      <c r="A39" s="13" t="s">
        <v>38</v>
      </c>
      <c r="B39" s="11" t="s">
        <v>79</v>
      </c>
      <c r="C39" s="39">
        <v>50000</v>
      </c>
      <c r="D39" s="12">
        <f>ROUNDUP(D2*C2*3/24,0)</f>
        <v>2</v>
      </c>
      <c r="E39" s="39">
        <f t="shared" si="2"/>
        <v>100000</v>
      </c>
    </row>
    <row r="40" spans="1:5" ht="22.5" customHeight="1" x14ac:dyDescent="0.2">
      <c r="A40" s="13" t="s">
        <v>40</v>
      </c>
      <c r="B40" s="11" t="s">
        <v>39</v>
      </c>
      <c r="C40" s="39">
        <v>100000</v>
      </c>
      <c r="D40" s="12">
        <v>1</v>
      </c>
      <c r="E40" s="39">
        <f t="shared" si="2"/>
        <v>100000</v>
      </c>
    </row>
    <row r="41" spans="1:5" ht="22.5" customHeight="1" x14ac:dyDescent="0.2">
      <c r="A41" s="13" t="s">
        <v>41</v>
      </c>
      <c r="B41" s="11" t="s">
        <v>13</v>
      </c>
      <c r="C41" s="39">
        <v>60000</v>
      </c>
      <c r="D41" s="12">
        <f>D2</f>
        <v>3</v>
      </c>
      <c r="E41" s="39">
        <f t="shared" si="2"/>
        <v>180000</v>
      </c>
    </row>
    <row r="42" spans="1:5" s="1" customFormat="1" ht="30" customHeight="1" x14ac:dyDescent="0.2">
      <c r="A42" s="18" t="s">
        <v>80</v>
      </c>
      <c r="B42" s="17"/>
      <c r="C42" s="5"/>
      <c r="D42" s="12"/>
      <c r="E42" s="42">
        <f>SUM(E7:E41)</f>
        <v>7687500</v>
      </c>
    </row>
    <row r="43" spans="1:5" ht="36" customHeight="1" x14ac:dyDescent="0.2">
      <c r="A43" s="18" t="s">
        <v>84</v>
      </c>
      <c r="B43" s="8"/>
      <c r="C43" s="8"/>
      <c r="D43" s="8"/>
      <c r="E43" s="42">
        <f>E42/D2</f>
        <v>2562500</v>
      </c>
    </row>
    <row r="45" spans="1:5" x14ac:dyDescent="0.2">
      <c r="E45" s="45"/>
    </row>
    <row r="46" spans="1:5" x14ac:dyDescent="0.2">
      <c r="E46" s="45"/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E2AA-3D0D-C84F-A067-463DF125D727}">
  <sheetPr codeName="Sheet7">
    <pageSetUpPr fitToPage="1"/>
  </sheetPr>
  <dimension ref="A1:E46"/>
  <sheetViews>
    <sheetView tabSelected="1" topLeftCell="A27" zoomScale="88" zoomScaleNormal="70" workbookViewId="0">
      <selection activeCell="E47" sqref="E47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5" ht="27.75" customHeight="1" x14ac:dyDescent="0.2">
      <c r="A2" s="3" t="s">
        <v>91</v>
      </c>
      <c r="B2" s="3"/>
      <c r="C2" s="3">
        <v>4</v>
      </c>
      <c r="D2" s="43">
        <v>4</v>
      </c>
      <c r="E2" s="44">
        <v>3950000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58</v>
      </c>
      <c r="B7" s="11" t="s">
        <v>5</v>
      </c>
      <c r="C7" s="39">
        <v>337500</v>
      </c>
      <c r="D7" s="12">
        <f>ROUNDUP($D$2/2,0)</f>
        <v>2</v>
      </c>
      <c r="E7" s="39">
        <f t="shared" ref="E7:E25" si="0">C7*D7</f>
        <v>675000</v>
      </c>
    </row>
    <row r="8" spans="1:5" ht="22.5" customHeight="1" x14ac:dyDescent="0.3">
      <c r="A8" s="9" t="s">
        <v>8</v>
      </c>
      <c r="B8" s="7"/>
      <c r="C8" s="40"/>
      <c r="D8" s="12"/>
      <c r="E8" s="39"/>
    </row>
    <row r="9" spans="1:5" ht="22.5" customHeight="1" x14ac:dyDescent="0.2">
      <c r="A9" s="10" t="s">
        <v>55</v>
      </c>
      <c r="B9" s="11" t="s">
        <v>5</v>
      </c>
      <c r="C9" s="39">
        <v>750000</v>
      </c>
      <c r="D9" s="12">
        <f>ROUNDUP(D2/2,0)</f>
        <v>2</v>
      </c>
      <c r="E9" s="39">
        <f t="shared" si="0"/>
        <v>1500000</v>
      </c>
    </row>
    <row r="10" spans="1:5" ht="22.5" customHeight="1" x14ac:dyDescent="0.3">
      <c r="A10" s="9" t="s">
        <v>9</v>
      </c>
      <c r="B10" s="7"/>
      <c r="C10" s="40"/>
      <c r="D10" s="12"/>
      <c r="E10" s="39">
        <f t="shared" si="0"/>
        <v>0</v>
      </c>
    </row>
    <row r="11" spans="1:5" ht="22.5" customHeight="1" x14ac:dyDescent="0.2">
      <c r="A11" s="13" t="s">
        <v>10</v>
      </c>
      <c r="B11" s="11" t="s">
        <v>5</v>
      </c>
      <c r="C11" s="39">
        <v>550000</v>
      </c>
      <c r="D11" s="12">
        <f>ROUNDUP($D$2/2,0)</f>
        <v>2</v>
      </c>
      <c r="E11" s="39">
        <f t="shared" si="0"/>
        <v>1100000</v>
      </c>
    </row>
    <row r="12" spans="1:5" ht="22.5" customHeight="1" x14ac:dyDescent="0.3">
      <c r="A12" s="6" t="s">
        <v>11</v>
      </c>
      <c r="B12" s="7"/>
      <c r="C12" s="40"/>
      <c r="D12" s="12"/>
      <c r="E12" s="39"/>
    </row>
    <row r="13" spans="1:5" ht="22.5" customHeight="1" x14ac:dyDescent="0.3">
      <c r="A13" s="9" t="s">
        <v>12</v>
      </c>
      <c r="B13" s="7"/>
      <c r="C13" s="40"/>
      <c r="D13" s="12"/>
      <c r="E13" s="39"/>
    </row>
    <row r="14" spans="1:5" ht="22.5" customHeight="1" x14ac:dyDescent="0.2">
      <c r="A14" s="10" t="s">
        <v>53</v>
      </c>
      <c r="B14" s="11" t="s">
        <v>13</v>
      </c>
      <c r="C14" s="39">
        <v>75000</v>
      </c>
      <c r="D14" s="12">
        <f>D2</f>
        <v>4</v>
      </c>
      <c r="E14" s="39">
        <f t="shared" si="0"/>
        <v>300000</v>
      </c>
    </row>
    <row r="15" spans="1:5" ht="22.5" customHeight="1" x14ac:dyDescent="0.2">
      <c r="A15" s="10" t="s">
        <v>93</v>
      </c>
      <c r="B15" s="11" t="s">
        <v>13</v>
      </c>
      <c r="C15" s="39">
        <v>35000</v>
      </c>
      <c r="D15" s="12">
        <f>D2</f>
        <v>4</v>
      </c>
      <c r="E15" s="39">
        <f t="shared" si="0"/>
        <v>140000</v>
      </c>
    </row>
    <row r="16" spans="1:5" ht="22.5" customHeight="1" x14ac:dyDescent="0.2">
      <c r="A16" s="10" t="s">
        <v>15</v>
      </c>
      <c r="B16" s="11" t="s">
        <v>13</v>
      </c>
      <c r="C16" s="39">
        <v>25000</v>
      </c>
      <c r="D16" s="12">
        <f>D2</f>
        <v>4</v>
      </c>
      <c r="E16" s="39">
        <f t="shared" si="0"/>
        <v>100000</v>
      </c>
    </row>
    <row r="17" spans="1:5" ht="22.5" customHeight="1" x14ac:dyDescent="0.2">
      <c r="A17" s="10" t="s">
        <v>72</v>
      </c>
      <c r="B17" s="11" t="s">
        <v>5</v>
      </c>
      <c r="C17" s="39">
        <v>250000</v>
      </c>
      <c r="D17" s="12">
        <v>1</v>
      </c>
      <c r="E17" s="39">
        <f t="shared" si="0"/>
        <v>250000</v>
      </c>
    </row>
    <row r="18" spans="1:5" ht="22.5" customHeight="1" x14ac:dyDescent="0.2">
      <c r="A18" s="13" t="s">
        <v>88</v>
      </c>
      <c r="B18" s="11" t="s">
        <v>13</v>
      </c>
      <c r="C18" s="39">
        <v>65000</v>
      </c>
      <c r="D18" s="12">
        <f>D2</f>
        <v>4</v>
      </c>
      <c r="E18" s="39">
        <f t="shared" si="0"/>
        <v>260000</v>
      </c>
    </row>
    <row r="19" spans="1:5" ht="22.5" customHeight="1" x14ac:dyDescent="0.2">
      <c r="A19" s="13" t="s">
        <v>89</v>
      </c>
      <c r="B19" s="11" t="s">
        <v>13</v>
      </c>
      <c r="C19" s="39">
        <v>65000</v>
      </c>
      <c r="D19" s="12">
        <f>D2</f>
        <v>4</v>
      </c>
      <c r="E19" s="39">
        <f t="shared" si="0"/>
        <v>260000</v>
      </c>
    </row>
    <row r="20" spans="1:5" ht="22.5" customHeight="1" x14ac:dyDescent="0.3">
      <c r="A20" s="9" t="s">
        <v>17</v>
      </c>
      <c r="B20" s="7"/>
      <c r="C20" s="41"/>
      <c r="D20" s="12"/>
      <c r="E20" s="39"/>
    </row>
    <row r="21" spans="1:5" ht="22.5" customHeight="1" x14ac:dyDescent="0.2">
      <c r="A21" s="10" t="s">
        <v>52</v>
      </c>
      <c r="B21" s="11" t="s">
        <v>13</v>
      </c>
      <c r="C21" s="39">
        <v>160000</v>
      </c>
      <c r="D21" s="12">
        <f>D2</f>
        <v>4</v>
      </c>
      <c r="E21" s="39">
        <f t="shared" si="0"/>
        <v>640000</v>
      </c>
    </row>
    <row r="22" spans="1:5" ht="22.5" customHeight="1" x14ac:dyDescent="0.2">
      <c r="A22" s="13" t="s">
        <v>18</v>
      </c>
      <c r="B22" s="11" t="s">
        <v>13</v>
      </c>
      <c r="C22" s="39">
        <v>500000</v>
      </c>
      <c r="D22" s="12">
        <f>ROUNDUP(D2/4,0)</f>
        <v>1</v>
      </c>
      <c r="E22" s="39">
        <f t="shared" si="0"/>
        <v>500000</v>
      </c>
    </row>
    <row r="23" spans="1:5" ht="22.5" customHeight="1" x14ac:dyDescent="0.3">
      <c r="A23" s="15" t="s">
        <v>19</v>
      </c>
      <c r="B23" s="7"/>
      <c r="C23" s="41"/>
      <c r="D23" s="12"/>
      <c r="E23" s="39"/>
    </row>
    <row r="24" spans="1:5" ht="22.5" customHeight="1" x14ac:dyDescent="0.2">
      <c r="A24" s="13" t="s">
        <v>20</v>
      </c>
      <c r="B24" s="11" t="s">
        <v>13</v>
      </c>
      <c r="C24" s="39">
        <v>90000</v>
      </c>
      <c r="D24" s="12">
        <f>D2</f>
        <v>4</v>
      </c>
      <c r="E24" s="39">
        <f t="shared" si="0"/>
        <v>360000</v>
      </c>
    </row>
    <row r="25" spans="1:5" ht="22.5" customHeight="1" x14ac:dyDescent="0.2">
      <c r="A25" s="10" t="s">
        <v>71</v>
      </c>
      <c r="B25" s="11" t="s">
        <v>5</v>
      </c>
      <c r="C25" s="39">
        <v>100000</v>
      </c>
      <c r="D25" s="12">
        <v>1</v>
      </c>
      <c r="E25" s="39">
        <f t="shared" si="0"/>
        <v>100000</v>
      </c>
    </row>
    <row r="26" spans="1:5" ht="22.5" customHeight="1" x14ac:dyDescent="0.3">
      <c r="A26" s="16" t="s">
        <v>21</v>
      </c>
      <c r="B26" s="7"/>
      <c r="C26" s="40"/>
      <c r="D26" s="12"/>
      <c r="E26" s="39"/>
    </row>
    <row r="27" spans="1:5" ht="22.5" customHeight="1" x14ac:dyDescent="0.3">
      <c r="A27" s="9" t="s">
        <v>22</v>
      </c>
      <c r="B27" s="7"/>
      <c r="C27" s="40"/>
      <c r="D27" s="12"/>
      <c r="E27" s="39"/>
    </row>
    <row r="28" spans="1:5" ht="22.5" customHeight="1" x14ac:dyDescent="0.2">
      <c r="A28" s="10" t="s">
        <v>26</v>
      </c>
      <c r="B28" s="11" t="s">
        <v>24</v>
      </c>
      <c r="C28" s="39">
        <v>1100000</v>
      </c>
      <c r="D28" s="12">
        <f>IF((($D$2&gt;=4)*($D$2&lt;=11))=1,3,0)</f>
        <v>3</v>
      </c>
      <c r="E28" s="39">
        <f t="shared" ref="E28:E40" si="1">C28*D28</f>
        <v>3300000</v>
      </c>
    </row>
    <row r="29" spans="1:5" ht="22.5" customHeight="1" x14ac:dyDescent="0.3">
      <c r="A29" s="9" t="s">
        <v>28</v>
      </c>
      <c r="B29" s="7"/>
      <c r="C29" s="40"/>
      <c r="D29" s="12"/>
      <c r="E29" s="39"/>
    </row>
    <row r="30" spans="1:5" ht="22.5" customHeight="1" x14ac:dyDescent="0.2">
      <c r="A30" s="13" t="s">
        <v>29</v>
      </c>
      <c r="B30" s="11" t="s">
        <v>5</v>
      </c>
      <c r="C30" s="39">
        <v>200000</v>
      </c>
      <c r="D30" s="12">
        <f>IF((($D$2&gt;=10)*($D$2&lt;=11))=1,2,1)</f>
        <v>1</v>
      </c>
      <c r="E30" s="39">
        <f t="shared" si="1"/>
        <v>200000</v>
      </c>
    </row>
    <row r="31" spans="1:5" ht="22.5" customHeight="1" x14ac:dyDescent="0.3">
      <c r="A31" s="9" t="s">
        <v>30</v>
      </c>
      <c r="B31" s="7"/>
      <c r="C31" s="40"/>
      <c r="D31" s="12"/>
      <c r="E31" s="39">
        <f t="shared" si="1"/>
        <v>0</v>
      </c>
    </row>
    <row r="32" spans="1:5" ht="22.5" customHeight="1" x14ac:dyDescent="0.2">
      <c r="A32" s="13" t="s">
        <v>31</v>
      </c>
      <c r="B32" s="11" t="s">
        <v>32</v>
      </c>
      <c r="C32" s="39">
        <v>200000</v>
      </c>
      <c r="D32" s="12">
        <f>ROUNDUP($D$2/3,0)</f>
        <v>2</v>
      </c>
      <c r="E32" s="39">
        <f t="shared" si="1"/>
        <v>400000</v>
      </c>
    </row>
    <row r="33" spans="1:5" ht="22.5" customHeight="1" x14ac:dyDescent="0.3">
      <c r="A33" s="16" t="s">
        <v>33</v>
      </c>
      <c r="B33" s="7"/>
      <c r="C33" s="40"/>
      <c r="D33" s="12"/>
      <c r="E33" s="39">
        <f t="shared" si="1"/>
        <v>0</v>
      </c>
    </row>
    <row r="34" spans="1:5" ht="22.5" customHeight="1" x14ac:dyDescent="0.3">
      <c r="A34" s="9" t="s">
        <v>34</v>
      </c>
      <c r="B34" s="7"/>
      <c r="C34" s="40"/>
      <c r="D34" s="12"/>
      <c r="E34" s="39">
        <f t="shared" si="1"/>
        <v>0</v>
      </c>
    </row>
    <row r="35" spans="1:5" ht="22.5" customHeight="1" x14ac:dyDescent="0.2">
      <c r="A35" s="10" t="s">
        <v>65</v>
      </c>
      <c r="B35" s="11" t="s">
        <v>24</v>
      </c>
      <c r="C35" s="39">
        <v>250000</v>
      </c>
      <c r="D35" s="12">
        <f>IF((($D$2&gt;=4)*($D$2&lt;=11))=1,3,0)</f>
        <v>3</v>
      </c>
      <c r="E35" s="39">
        <f t="shared" si="1"/>
        <v>750000</v>
      </c>
    </row>
    <row r="36" spans="1:5" ht="22.5" customHeight="1" x14ac:dyDescent="0.3">
      <c r="A36" s="16" t="s">
        <v>36</v>
      </c>
      <c r="B36" s="7"/>
      <c r="C36" s="40"/>
      <c r="D36" s="12"/>
      <c r="E36" s="39">
        <f t="shared" si="1"/>
        <v>0</v>
      </c>
    </row>
    <row r="37" spans="1:5" ht="22.5" customHeight="1" x14ac:dyDescent="0.3">
      <c r="A37" s="9" t="s">
        <v>37</v>
      </c>
      <c r="B37" s="7"/>
      <c r="C37" s="40"/>
      <c r="D37" s="12"/>
      <c r="E37" s="39">
        <f t="shared" si="1"/>
        <v>0</v>
      </c>
    </row>
    <row r="38" spans="1:5" ht="22.5" customHeight="1" x14ac:dyDescent="0.2">
      <c r="A38" s="13" t="s">
        <v>38</v>
      </c>
      <c r="B38" s="11" t="s">
        <v>79</v>
      </c>
      <c r="C38" s="39">
        <v>50000</v>
      </c>
      <c r="D38" s="12">
        <f>ROUNDUP(D2*C2*3/24,0)</f>
        <v>2</v>
      </c>
      <c r="E38" s="39">
        <f t="shared" si="1"/>
        <v>100000</v>
      </c>
    </row>
    <row r="39" spans="1:5" ht="22.5" customHeight="1" x14ac:dyDescent="0.2">
      <c r="A39" s="13" t="s">
        <v>40</v>
      </c>
      <c r="B39" s="11" t="s">
        <v>39</v>
      </c>
      <c r="C39" s="39">
        <v>100000</v>
      </c>
      <c r="D39" s="12">
        <v>1</v>
      </c>
      <c r="E39" s="39">
        <f t="shared" si="1"/>
        <v>100000</v>
      </c>
    </row>
    <row r="40" spans="1:5" ht="22.5" customHeight="1" x14ac:dyDescent="0.2">
      <c r="A40" s="13" t="s">
        <v>41</v>
      </c>
      <c r="B40" s="11" t="s">
        <v>13</v>
      </c>
      <c r="C40" s="39">
        <v>60000</v>
      </c>
      <c r="D40" s="12">
        <f>D2</f>
        <v>4</v>
      </c>
      <c r="E40" s="39">
        <f t="shared" si="1"/>
        <v>240000</v>
      </c>
    </row>
    <row r="41" spans="1:5" s="1" customFormat="1" ht="30" customHeight="1" x14ac:dyDescent="0.2">
      <c r="A41" s="18" t="s">
        <v>80</v>
      </c>
      <c r="B41" s="17"/>
      <c r="C41" s="5"/>
      <c r="D41" s="12"/>
      <c r="E41" s="42">
        <f>SUM(E7:E40)</f>
        <v>11275000</v>
      </c>
    </row>
    <row r="42" spans="1:5" ht="36" customHeight="1" x14ac:dyDescent="0.2">
      <c r="A42" s="18" t="s">
        <v>84</v>
      </c>
      <c r="B42" s="8"/>
      <c r="C42" s="8"/>
      <c r="D42" s="8"/>
      <c r="E42" s="42">
        <f>E41/D2</f>
        <v>2818750</v>
      </c>
    </row>
    <row r="44" spans="1:5" x14ac:dyDescent="0.2">
      <c r="E44" s="45">
        <f>D2*E2</f>
        <v>15800000</v>
      </c>
    </row>
    <row r="45" spans="1:5" x14ac:dyDescent="0.2">
      <c r="E45" s="45">
        <f>E44-E41</f>
        <v>4525000</v>
      </c>
    </row>
    <row r="46" spans="1:5" x14ac:dyDescent="0.2">
      <c r="E46">
        <f>E45/E44*100</f>
        <v>28.639240506329116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E245-1E25-EF46-9A1C-89F01EAE6105}">
  <sheetPr codeName="Sheet8">
    <pageSetUpPr fitToPage="1"/>
  </sheetPr>
  <dimension ref="A1:N45"/>
  <sheetViews>
    <sheetView zoomScale="70" zoomScaleNormal="70" workbookViewId="0">
      <selection activeCell="E2" sqref="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14" ht="27.75" customHeight="1" x14ac:dyDescent="0.2">
      <c r="A2" s="3" t="s">
        <v>91</v>
      </c>
      <c r="B2" s="3"/>
      <c r="C2" s="3">
        <v>4</v>
      </c>
      <c r="D2" s="43">
        <v>5</v>
      </c>
      <c r="E2" s="44">
        <v>3950000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58</v>
      </c>
      <c r="B7" s="11" t="s">
        <v>5</v>
      </c>
      <c r="C7" s="39">
        <v>337500</v>
      </c>
      <c r="D7" s="12">
        <v>1</v>
      </c>
      <c r="E7" s="39">
        <f t="shared" ref="E7:E28" si="0">C7*D7</f>
        <v>337500</v>
      </c>
    </row>
    <row r="8" spans="1:14" ht="22.5" customHeight="1" x14ac:dyDescent="0.25">
      <c r="A8" s="10" t="s">
        <v>62</v>
      </c>
      <c r="B8" s="11" t="s">
        <v>5</v>
      </c>
      <c r="C8" s="39">
        <v>562500</v>
      </c>
      <c r="D8" s="12">
        <v>1</v>
      </c>
      <c r="E8" s="39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8</v>
      </c>
      <c r="B9" s="7"/>
      <c r="C9" s="40"/>
      <c r="D9" s="12"/>
      <c r="E9" s="39"/>
    </row>
    <row r="10" spans="1:14" ht="22.5" customHeight="1" x14ac:dyDescent="0.2">
      <c r="A10" s="10" t="s">
        <v>55</v>
      </c>
      <c r="B10" s="11" t="s">
        <v>5</v>
      </c>
      <c r="C10" s="39">
        <v>750000</v>
      </c>
      <c r="D10" s="12">
        <v>1</v>
      </c>
      <c r="E10" s="39">
        <f t="shared" si="0"/>
        <v>750000</v>
      </c>
    </row>
    <row r="11" spans="1:14" ht="22.5" customHeight="1" x14ac:dyDescent="0.2">
      <c r="A11" s="10" t="s">
        <v>56</v>
      </c>
      <c r="B11" s="11" t="s">
        <v>5</v>
      </c>
      <c r="C11" s="39">
        <v>950000</v>
      </c>
      <c r="D11" s="12">
        <v>1</v>
      </c>
      <c r="E11" s="39">
        <f t="shared" si="0"/>
        <v>950000</v>
      </c>
    </row>
    <row r="12" spans="1:14" ht="22.5" customHeight="1" x14ac:dyDescent="0.3">
      <c r="A12" s="9" t="s">
        <v>9</v>
      </c>
      <c r="B12" s="7"/>
      <c r="C12" s="40"/>
      <c r="D12" s="12"/>
      <c r="E12" s="39"/>
    </row>
    <row r="13" spans="1:14" ht="22.5" customHeight="1" x14ac:dyDescent="0.2">
      <c r="A13" s="13" t="s">
        <v>10</v>
      </c>
      <c r="B13" s="11" t="s">
        <v>5</v>
      </c>
      <c r="C13" s="39">
        <v>550000</v>
      </c>
      <c r="D13" s="12">
        <v>2</v>
      </c>
      <c r="E13" s="39">
        <f t="shared" si="0"/>
        <v>1100000</v>
      </c>
    </row>
    <row r="14" spans="1:14" ht="22.5" customHeight="1" x14ac:dyDescent="0.2">
      <c r="A14" s="10" t="s">
        <v>90</v>
      </c>
      <c r="B14" s="11" t="s">
        <v>5</v>
      </c>
      <c r="C14" s="39">
        <v>350000</v>
      </c>
      <c r="D14" s="12">
        <v>1</v>
      </c>
      <c r="E14" s="39">
        <f t="shared" ref="E14" si="1">C14*D14</f>
        <v>350000</v>
      </c>
    </row>
    <row r="15" spans="1:14" ht="22.5" customHeight="1" x14ac:dyDescent="0.3">
      <c r="A15" s="6" t="s">
        <v>11</v>
      </c>
      <c r="B15" s="7"/>
      <c r="C15" s="40"/>
      <c r="D15" s="12"/>
      <c r="E15" s="39"/>
    </row>
    <row r="16" spans="1:14" ht="22.5" customHeight="1" x14ac:dyDescent="0.3">
      <c r="A16" s="9" t="s">
        <v>12</v>
      </c>
      <c r="B16" s="7"/>
      <c r="C16" s="40"/>
      <c r="D16" s="12"/>
      <c r="E16" s="39"/>
    </row>
    <row r="17" spans="1:5" ht="22.5" customHeight="1" x14ac:dyDescent="0.2">
      <c r="A17" s="10" t="s">
        <v>53</v>
      </c>
      <c r="B17" s="11" t="s">
        <v>13</v>
      </c>
      <c r="C17" s="39">
        <v>75000</v>
      </c>
      <c r="D17" s="12">
        <f>D2</f>
        <v>5</v>
      </c>
      <c r="E17" s="39">
        <f t="shared" si="0"/>
        <v>375000</v>
      </c>
    </row>
    <row r="18" spans="1:5" ht="22.5" customHeight="1" x14ac:dyDescent="0.2">
      <c r="A18" s="10" t="s">
        <v>93</v>
      </c>
      <c r="B18" s="11" t="s">
        <v>13</v>
      </c>
      <c r="C18" s="39">
        <v>35000</v>
      </c>
      <c r="D18" s="12">
        <f>D2</f>
        <v>5</v>
      </c>
      <c r="E18" s="39">
        <f t="shared" si="0"/>
        <v>175000</v>
      </c>
    </row>
    <row r="19" spans="1:5" ht="22.5" customHeight="1" x14ac:dyDescent="0.2">
      <c r="A19" s="10" t="s">
        <v>15</v>
      </c>
      <c r="B19" s="11" t="s">
        <v>13</v>
      </c>
      <c r="C19" s="39">
        <v>25000</v>
      </c>
      <c r="D19" s="12">
        <f>D2</f>
        <v>5</v>
      </c>
      <c r="E19" s="39">
        <f t="shared" si="0"/>
        <v>125000</v>
      </c>
    </row>
    <row r="20" spans="1:5" ht="22.5" customHeight="1" x14ac:dyDescent="0.2">
      <c r="A20" s="10" t="s">
        <v>72</v>
      </c>
      <c r="B20" s="11" t="s">
        <v>5</v>
      </c>
      <c r="C20" s="39">
        <v>250000</v>
      </c>
      <c r="D20" s="12">
        <v>1</v>
      </c>
      <c r="E20" s="39">
        <f t="shared" si="0"/>
        <v>250000</v>
      </c>
    </row>
    <row r="21" spans="1:5" ht="22.5" customHeight="1" x14ac:dyDescent="0.2">
      <c r="A21" s="13" t="s">
        <v>88</v>
      </c>
      <c r="B21" s="11" t="s">
        <v>13</v>
      </c>
      <c r="C21" s="39">
        <v>65000</v>
      </c>
      <c r="D21" s="12">
        <f>D2</f>
        <v>5</v>
      </c>
      <c r="E21" s="39">
        <f t="shared" si="0"/>
        <v>325000</v>
      </c>
    </row>
    <row r="22" spans="1:5" ht="22.5" customHeight="1" x14ac:dyDescent="0.2">
      <c r="A22" s="13" t="s">
        <v>89</v>
      </c>
      <c r="B22" s="11" t="s">
        <v>13</v>
      </c>
      <c r="C22" s="39">
        <v>65000</v>
      </c>
      <c r="D22" s="12">
        <f>D2</f>
        <v>5</v>
      </c>
      <c r="E22" s="39">
        <f t="shared" si="0"/>
        <v>325000</v>
      </c>
    </row>
    <row r="23" spans="1:5" ht="22.5" customHeight="1" x14ac:dyDescent="0.3">
      <c r="A23" s="9" t="s">
        <v>17</v>
      </c>
      <c r="B23" s="7"/>
      <c r="C23" s="41"/>
      <c r="D23" s="12"/>
      <c r="E23" s="39"/>
    </row>
    <row r="24" spans="1:5" ht="22.5" customHeight="1" x14ac:dyDescent="0.2">
      <c r="A24" s="10" t="s">
        <v>52</v>
      </c>
      <c r="B24" s="11" t="s">
        <v>13</v>
      </c>
      <c r="C24" s="39">
        <v>160000</v>
      </c>
      <c r="D24" s="12">
        <f>D2</f>
        <v>5</v>
      </c>
      <c r="E24" s="39">
        <f t="shared" si="0"/>
        <v>800000</v>
      </c>
    </row>
    <row r="25" spans="1:5" ht="22.5" customHeight="1" x14ac:dyDescent="0.2">
      <c r="A25" s="13" t="s">
        <v>18</v>
      </c>
      <c r="B25" s="11" t="s">
        <v>13</v>
      </c>
      <c r="C25" s="39">
        <v>500000</v>
      </c>
      <c r="D25" s="12">
        <f>ROUNDUP(D2/4,0)</f>
        <v>2</v>
      </c>
      <c r="E25" s="39">
        <f t="shared" si="0"/>
        <v>1000000</v>
      </c>
    </row>
    <row r="26" spans="1:5" ht="22.5" customHeight="1" x14ac:dyDescent="0.3">
      <c r="A26" s="15" t="s">
        <v>19</v>
      </c>
      <c r="B26" s="7"/>
      <c r="C26" s="41"/>
      <c r="D26" s="12"/>
      <c r="E26" s="39"/>
    </row>
    <row r="27" spans="1:5" ht="22.5" customHeight="1" x14ac:dyDescent="0.2">
      <c r="A27" s="13" t="s">
        <v>20</v>
      </c>
      <c r="B27" s="11" t="s">
        <v>13</v>
      </c>
      <c r="C27" s="39">
        <v>90000</v>
      </c>
      <c r="D27" s="12">
        <f>D2</f>
        <v>5</v>
      </c>
      <c r="E27" s="39">
        <f t="shared" si="0"/>
        <v>450000</v>
      </c>
    </row>
    <row r="28" spans="1:5" ht="22.5" customHeight="1" x14ac:dyDescent="0.2">
      <c r="A28" s="10" t="s">
        <v>71</v>
      </c>
      <c r="B28" s="11" t="s">
        <v>5</v>
      </c>
      <c r="C28" s="39">
        <v>100000</v>
      </c>
      <c r="D28" s="12">
        <v>1</v>
      </c>
      <c r="E28" s="39">
        <f t="shared" si="0"/>
        <v>100000</v>
      </c>
    </row>
    <row r="29" spans="1:5" ht="22.5" customHeight="1" x14ac:dyDescent="0.3">
      <c r="A29" s="16" t="s">
        <v>21</v>
      </c>
      <c r="B29" s="7"/>
      <c r="C29" s="40"/>
      <c r="D29" s="12"/>
      <c r="E29" s="39"/>
    </row>
    <row r="30" spans="1:5" ht="22.5" customHeight="1" x14ac:dyDescent="0.3">
      <c r="A30" s="9" t="s">
        <v>22</v>
      </c>
      <c r="B30" s="7"/>
      <c r="C30" s="40"/>
      <c r="D30" s="12"/>
      <c r="E30" s="39"/>
    </row>
    <row r="31" spans="1:5" ht="22.5" customHeight="1" x14ac:dyDescent="0.2">
      <c r="A31" s="10" t="s">
        <v>26</v>
      </c>
      <c r="B31" s="11" t="s">
        <v>24</v>
      </c>
      <c r="C31" s="39">
        <v>1100000</v>
      </c>
      <c r="D31" s="12">
        <f>IF((($D$2&gt;=4)*($D$2&lt;=11))=1,3,0)</f>
        <v>3</v>
      </c>
      <c r="E31" s="39">
        <f t="shared" ref="E31:E43" si="2">C31*D31</f>
        <v>3300000</v>
      </c>
    </row>
    <row r="32" spans="1:5" ht="22.5" customHeight="1" x14ac:dyDescent="0.3">
      <c r="A32" s="9" t="s">
        <v>28</v>
      </c>
      <c r="B32" s="7"/>
      <c r="C32" s="40"/>
      <c r="D32" s="12"/>
      <c r="E32" s="39"/>
    </row>
    <row r="33" spans="1:5" ht="22.5" customHeight="1" x14ac:dyDescent="0.2">
      <c r="A33" s="13" t="s">
        <v>29</v>
      </c>
      <c r="B33" s="11" t="s">
        <v>5</v>
      </c>
      <c r="C33" s="39">
        <v>200000</v>
      </c>
      <c r="D33" s="12">
        <f>IF((($D$2&gt;=10)*($D$2&lt;=11))=1,2,1)</f>
        <v>1</v>
      </c>
      <c r="E33" s="39">
        <f t="shared" si="2"/>
        <v>200000</v>
      </c>
    </row>
    <row r="34" spans="1:5" ht="22.5" customHeight="1" x14ac:dyDescent="0.3">
      <c r="A34" s="9" t="s">
        <v>30</v>
      </c>
      <c r="B34" s="7"/>
      <c r="C34" s="40"/>
      <c r="D34" s="12"/>
      <c r="E34" s="39"/>
    </row>
    <row r="35" spans="1:5" ht="22.5" customHeight="1" x14ac:dyDescent="0.2">
      <c r="A35" s="13" t="s">
        <v>31</v>
      </c>
      <c r="B35" s="11" t="s">
        <v>32</v>
      </c>
      <c r="C35" s="39">
        <v>200000</v>
      </c>
      <c r="D35" s="12">
        <f>ROUNDUP($D$2/3,0)</f>
        <v>2</v>
      </c>
      <c r="E35" s="39">
        <f t="shared" si="2"/>
        <v>400000</v>
      </c>
    </row>
    <row r="36" spans="1:5" ht="22.5" customHeight="1" x14ac:dyDescent="0.3">
      <c r="A36" s="16" t="s">
        <v>33</v>
      </c>
      <c r="B36" s="7"/>
      <c r="C36" s="40"/>
      <c r="D36" s="12"/>
      <c r="E36" s="39"/>
    </row>
    <row r="37" spans="1:5" ht="22.5" customHeight="1" x14ac:dyDescent="0.3">
      <c r="A37" s="9" t="s">
        <v>34</v>
      </c>
      <c r="B37" s="7"/>
      <c r="C37" s="40"/>
      <c r="D37" s="12"/>
      <c r="E37" s="39"/>
    </row>
    <row r="38" spans="1:5" ht="22.5" customHeight="1" x14ac:dyDescent="0.2">
      <c r="A38" s="10" t="s">
        <v>65</v>
      </c>
      <c r="B38" s="11" t="s">
        <v>24</v>
      </c>
      <c r="C38" s="39">
        <v>250000</v>
      </c>
      <c r="D38" s="12">
        <f>IF((($D$2&gt;=4)*($D$2&lt;=11))=1,3,0)</f>
        <v>3</v>
      </c>
      <c r="E38" s="39">
        <f t="shared" si="2"/>
        <v>750000</v>
      </c>
    </row>
    <row r="39" spans="1:5" ht="22.5" customHeight="1" x14ac:dyDescent="0.3">
      <c r="A39" s="16" t="s">
        <v>36</v>
      </c>
      <c r="B39" s="7"/>
      <c r="C39" s="40"/>
      <c r="D39" s="12"/>
      <c r="E39" s="39"/>
    </row>
    <row r="40" spans="1:5" ht="22.5" customHeight="1" x14ac:dyDescent="0.3">
      <c r="A40" s="9" t="s">
        <v>37</v>
      </c>
      <c r="B40" s="7"/>
      <c r="C40" s="40"/>
      <c r="D40" s="12"/>
      <c r="E40" s="39"/>
    </row>
    <row r="41" spans="1:5" ht="22.5" customHeight="1" x14ac:dyDescent="0.2">
      <c r="A41" s="13" t="s">
        <v>38</v>
      </c>
      <c r="B41" s="11" t="s">
        <v>79</v>
      </c>
      <c r="C41" s="39">
        <v>50000</v>
      </c>
      <c r="D41" s="12">
        <f>ROUNDUP(D2*C2*3/24,0)</f>
        <v>3</v>
      </c>
      <c r="E41" s="39">
        <f t="shared" si="2"/>
        <v>150000</v>
      </c>
    </row>
    <row r="42" spans="1:5" ht="22.5" customHeight="1" x14ac:dyDescent="0.2">
      <c r="A42" s="13" t="s">
        <v>40</v>
      </c>
      <c r="B42" s="11" t="s">
        <v>39</v>
      </c>
      <c r="C42" s="39">
        <v>100000</v>
      </c>
      <c r="D42" s="12">
        <v>1</v>
      </c>
      <c r="E42" s="39">
        <f t="shared" si="2"/>
        <v>100000</v>
      </c>
    </row>
    <row r="43" spans="1:5" ht="22.5" customHeight="1" x14ac:dyDescent="0.2">
      <c r="A43" s="13" t="s">
        <v>41</v>
      </c>
      <c r="B43" s="11" t="s">
        <v>13</v>
      </c>
      <c r="C43" s="39">
        <v>60000</v>
      </c>
      <c r="D43" s="12">
        <f>D2</f>
        <v>5</v>
      </c>
      <c r="E43" s="39">
        <f t="shared" si="2"/>
        <v>300000</v>
      </c>
    </row>
    <row r="44" spans="1:5" s="1" customFormat="1" ht="30" customHeight="1" x14ac:dyDescent="0.2">
      <c r="A44" s="18" t="s">
        <v>80</v>
      </c>
      <c r="B44" s="17"/>
      <c r="C44" s="5"/>
      <c r="D44" s="12"/>
      <c r="E44" s="42">
        <f>SUM(E7:E43)</f>
        <v>13175000</v>
      </c>
    </row>
    <row r="45" spans="1:5" ht="36" customHeight="1" x14ac:dyDescent="0.2">
      <c r="A45" s="18" t="s">
        <v>84</v>
      </c>
      <c r="B45" s="8"/>
      <c r="C45" s="8"/>
      <c r="D45" s="8"/>
      <c r="E45" s="42">
        <f>E44/D2</f>
        <v>2635000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99EF-5152-3144-A340-6DDB8822F0F1}">
  <sheetPr codeName="Sheet9">
    <pageSetUpPr fitToPage="1"/>
  </sheetPr>
  <dimension ref="A1:E42"/>
  <sheetViews>
    <sheetView zoomScale="85" zoomScaleNormal="85" workbookViewId="0">
      <selection activeCell="E2" sqref="E2"/>
    </sheetView>
  </sheetViews>
  <sheetFormatPr defaultColWidth="9" defaultRowHeight="12.75" x14ac:dyDescent="0.2"/>
  <cols>
    <col min="1" max="1" width="96.3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73</v>
      </c>
      <c r="B1" s="2" t="s">
        <v>74</v>
      </c>
      <c r="C1" s="2" t="s">
        <v>75</v>
      </c>
      <c r="D1" s="2" t="s">
        <v>76</v>
      </c>
      <c r="E1" s="2" t="s">
        <v>92</v>
      </c>
    </row>
    <row r="2" spans="1:5" ht="27.75" customHeight="1" x14ac:dyDescent="0.2">
      <c r="A2" s="3" t="s">
        <v>91</v>
      </c>
      <c r="B2" s="3">
        <v>32</v>
      </c>
      <c r="C2" s="3">
        <v>4</v>
      </c>
      <c r="D2" s="43">
        <v>6</v>
      </c>
      <c r="E2" s="44">
        <v>3650000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58</v>
      </c>
      <c r="B7" s="11" t="s">
        <v>5</v>
      </c>
      <c r="C7" s="39">
        <v>337500</v>
      </c>
      <c r="D7" s="12">
        <f>ROUNDUP($D$2/2,0)</f>
        <v>3</v>
      </c>
      <c r="E7" s="39">
        <f t="shared" ref="E7:E25" si="0">C7*D7</f>
        <v>1012500</v>
      </c>
    </row>
    <row r="8" spans="1:5" ht="22.5" customHeight="1" x14ac:dyDescent="0.3">
      <c r="A8" s="9" t="s">
        <v>8</v>
      </c>
      <c r="B8" s="7"/>
      <c r="C8" s="40"/>
      <c r="D8" s="12"/>
      <c r="E8" s="39"/>
    </row>
    <row r="9" spans="1:5" ht="22.5" customHeight="1" x14ac:dyDescent="0.2">
      <c r="A9" s="10" t="s">
        <v>55</v>
      </c>
      <c r="B9" s="11" t="s">
        <v>5</v>
      </c>
      <c r="C9" s="39">
        <v>750000</v>
      </c>
      <c r="D9" s="12">
        <f>ROUNDUP(D2/2,0)</f>
        <v>3</v>
      </c>
      <c r="E9" s="39">
        <f t="shared" si="0"/>
        <v>2250000</v>
      </c>
    </row>
    <row r="10" spans="1:5" ht="22.5" customHeight="1" x14ac:dyDescent="0.3">
      <c r="A10" s="9" t="s">
        <v>9</v>
      </c>
      <c r="B10" s="7"/>
      <c r="C10" s="40"/>
      <c r="D10" s="12"/>
      <c r="E10" s="39">
        <f t="shared" si="0"/>
        <v>0</v>
      </c>
    </row>
    <row r="11" spans="1:5" ht="22.5" customHeight="1" x14ac:dyDescent="0.2">
      <c r="A11" s="13" t="s">
        <v>10</v>
      </c>
      <c r="B11" s="11" t="s">
        <v>5</v>
      </c>
      <c r="C11" s="39">
        <v>550000</v>
      </c>
      <c r="D11" s="12">
        <f>ROUNDUP($D$2/2,0)</f>
        <v>3</v>
      </c>
      <c r="E11" s="39">
        <f t="shared" si="0"/>
        <v>1650000</v>
      </c>
    </row>
    <row r="12" spans="1:5" ht="22.5" customHeight="1" x14ac:dyDescent="0.3">
      <c r="A12" s="6" t="s">
        <v>11</v>
      </c>
      <c r="B12" s="7"/>
      <c r="C12" s="40"/>
      <c r="D12" s="12"/>
      <c r="E12" s="39"/>
    </row>
    <row r="13" spans="1:5" ht="22.5" customHeight="1" x14ac:dyDescent="0.3">
      <c r="A13" s="9" t="s">
        <v>12</v>
      </c>
      <c r="B13" s="7"/>
      <c r="C13" s="40"/>
      <c r="D13" s="12"/>
      <c r="E13" s="39"/>
    </row>
    <row r="14" spans="1:5" ht="22.5" customHeight="1" x14ac:dyDescent="0.2">
      <c r="A14" s="10" t="s">
        <v>53</v>
      </c>
      <c r="B14" s="11" t="s">
        <v>13</v>
      </c>
      <c r="C14" s="39">
        <v>75000</v>
      </c>
      <c r="D14" s="12">
        <f>D2</f>
        <v>6</v>
      </c>
      <c r="E14" s="39">
        <f t="shared" si="0"/>
        <v>450000</v>
      </c>
    </row>
    <row r="15" spans="1:5" ht="22.5" customHeight="1" x14ac:dyDescent="0.2">
      <c r="A15" s="10" t="s">
        <v>93</v>
      </c>
      <c r="B15" s="11" t="s">
        <v>13</v>
      </c>
      <c r="C15" s="39">
        <v>35000</v>
      </c>
      <c r="D15" s="12">
        <f>D2</f>
        <v>6</v>
      </c>
      <c r="E15" s="39">
        <f t="shared" si="0"/>
        <v>210000</v>
      </c>
    </row>
    <row r="16" spans="1:5" ht="22.5" customHeight="1" x14ac:dyDescent="0.2">
      <c r="A16" s="10" t="s">
        <v>15</v>
      </c>
      <c r="B16" s="11" t="s">
        <v>13</v>
      </c>
      <c r="C16" s="39">
        <v>25000</v>
      </c>
      <c r="D16" s="12">
        <f>D2</f>
        <v>6</v>
      </c>
      <c r="E16" s="39">
        <f t="shared" si="0"/>
        <v>150000</v>
      </c>
    </row>
    <row r="17" spans="1:5" ht="22.5" customHeight="1" x14ac:dyDescent="0.2">
      <c r="A17" s="10" t="s">
        <v>72</v>
      </c>
      <c r="B17" s="11" t="s">
        <v>5</v>
      </c>
      <c r="C17" s="39">
        <v>250000</v>
      </c>
      <c r="D17" s="12">
        <v>1</v>
      </c>
      <c r="E17" s="39">
        <f t="shared" si="0"/>
        <v>250000</v>
      </c>
    </row>
    <row r="18" spans="1:5" ht="22.5" customHeight="1" x14ac:dyDescent="0.2">
      <c r="A18" s="13" t="s">
        <v>88</v>
      </c>
      <c r="B18" s="11" t="s">
        <v>13</v>
      </c>
      <c r="C18" s="39">
        <v>65000</v>
      </c>
      <c r="D18" s="12">
        <f>D2</f>
        <v>6</v>
      </c>
      <c r="E18" s="39">
        <f t="shared" si="0"/>
        <v>390000</v>
      </c>
    </row>
    <row r="19" spans="1:5" ht="22.5" customHeight="1" x14ac:dyDescent="0.2">
      <c r="A19" s="13" t="s">
        <v>89</v>
      </c>
      <c r="B19" s="11" t="s">
        <v>13</v>
      </c>
      <c r="C19" s="39">
        <v>65000</v>
      </c>
      <c r="D19" s="12">
        <f>D2</f>
        <v>6</v>
      </c>
      <c r="E19" s="39">
        <f t="shared" si="0"/>
        <v>390000</v>
      </c>
    </row>
    <row r="20" spans="1:5" ht="22.5" customHeight="1" x14ac:dyDescent="0.3">
      <c r="A20" s="9" t="s">
        <v>17</v>
      </c>
      <c r="B20" s="7"/>
      <c r="C20" s="41"/>
      <c r="D20" s="12"/>
      <c r="E20" s="39"/>
    </row>
    <row r="21" spans="1:5" ht="22.5" customHeight="1" x14ac:dyDescent="0.2">
      <c r="A21" s="10" t="s">
        <v>52</v>
      </c>
      <c r="B21" s="11" t="s">
        <v>13</v>
      </c>
      <c r="C21" s="39">
        <v>160000</v>
      </c>
      <c r="D21" s="12">
        <f>D2</f>
        <v>6</v>
      </c>
      <c r="E21" s="39">
        <f t="shared" si="0"/>
        <v>960000</v>
      </c>
    </row>
    <row r="22" spans="1:5" ht="22.5" customHeight="1" x14ac:dyDescent="0.2">
      <c r="A22" s="13" t="s">
        <v>18</v>
      </c>
      <c r="B22" s="11" t="s">
        <v>13</v>
      </c>
      <c r="C22" s="39">
        <v>500000</v>
      </c>
      <c r="D22" s="12">
        <f>ROUNDUP(D2/4,0)</f>
        <v>2</v>
      </c>
      <c r="E22" s="39">
        <f t="shared" si="0"/>
        <v>1000000</v>
      </c>
    </row>
    <row r="23" spans="1:5" ht="22.5" customHeight="1" x14ac:dyDescent="0.3">
      <c r="A23" s="15" t="s">
        <v>19</v>
      </c>
      <c r="B23" s="7"/>
      <c r="C23" s="41"/>
      <c r="D23" s="12"/>
      <c r="E23" s="39"/>
    </row>
    <row r="24" spans="1:5" ht="22.5" customHeight="1" x14ac:dyDescent="0.2">
      <c r="A24" s="13" t="s">
        <v>20</v>
      </c>
      <c r="B24" s="11" t="s">
        <v>13</v>
      </c>
      <c r="C24" s="39">
        <v>90000</v>
      </c>
      <c r="D24" s="12">
        <f>D2</f>
        <v>6</v>
      </c>
      <c r="E24" s="39">
        <f t="shared" si="0"/>
        <v>540000</v>
      </c>
    </row>
    <row r="25" spans="1:5" ht="22.5" customHeight="1" x14ac:dyDescent="0.2">
      <c r="A25" s="10" t="s">
        <v>71</v>
      </c>
      <c r="B25" s="11" t="s">
        <v>5</v>
      </c>
      <c r="C25" s="39">
        <v>100000</v>
      </c>
      <c r="D25" s="12">
        <v>1</v>
      </c>
      <c r="E25" s="39">
        <f t="shared" si="0"/>
        <v>100000</v>
      </c>
    </row>
    <row r="26" spans="1:5" ht="22.5" customHeight="1" x14ac:dyDescent="0.3">
      <c r="A26" s="16" t="s">
        <v>21</v>
      </c>
      <c r="B26" s="7"/>
      <c r="C26" s="40"/>
      <c r="D26" s="12"/>
      <c r="E26" s="39"/>
    </row>
    <row r="27" spans="1:5" ht="22.5" customHeight="1" x14ac:dyDescent="0.3">
      <c r="A27" s="9" t="s">
        <v>22</v>
      </c>
      <c r="B27" s="7"/>
      <c r="C27" s="40"/>
      <c r="D27" s="12"/>
      <c r="E27" s="39"/>
    </row>
    <row r="28" spans="1:5" ht="22.5" customHeight="1" x14ac:dyDescent="0.2">
      <c r="A28" s="10" t="s">
        <v>26</v>
      </c>
      <c r="B28" s="11" t="s">
        <v>24</v>
      </c>
      <c r="C28" s="39">
        <v>1100000</v>
      </c>
      <c r="D28" s="12">
        <f>IF((($D$2&gt;=4)*($D$2&lt;=11))=1,3,0)</f>
        <v>3</v>
      </c>
      <c r="E28" s="39">
        <f t="shared" ref="E28:E40" si="1">C28*D28</f>
        <v>3300000</v>
      </c>
    </row>
    <row r="29" spans="1:5" ht="22.5" customHeight="1" x14ac:dyDescent="0.3">
      <c r="A29" s="9" t="s">
        <v>28</v>
      </c>
      <c r="B29" s="7"/>
      <c r="C29" s="40"/>
      <c r="D29" s="12"/>
      <c r="E29" s="39"/>
    </row>
    <row r="30" spans="1:5" ht="22.5" customHeight="1" x14ac:dyDescent="0.2">
      <c r="A30" s="13" t="s">
        <v>29</v>
      </c>
      <c r="B30" s="11" t="s">
        <v>5</v>
      </c>
      <c r="C30" s="39">
        <v>200000</v>
      </c>
      <c r="D30" s="12">
        <f>IF((($D$2&gt;=10)*($D$2&lt;=11))=1,2,1)</f>
        <v>1</v>
      </c>
      <c r="E30" s="39">
        <f t="shared" si="1"/>
        <v>200000</v>
      </c>
    </row>
    <row r="31" spans="1:5" ht="22.5" customHeight="1" x14ac:dyDescent="0.3">
      <c r="A31" s="9" t="s">
        <v>30</v>
      </c>
      <c r="B31" s="7"/>
      <c r="C31" s="40"/>
      <c r="D31" s="12"/>
      <c r="E31" s="39">
        <f t="shared" si="1"/>
        <v>0</v>
      </c>
    </row>
    <row r="32" spans="1:5" ht="22.5" customHeight="1" x14ac:dyDescent="0.2">
      <c r="A32" s="13" t="s">
        <v>31</v>
      </c>
      <c r="B32" s="11" t="s">
        <v>32</v>
      </c>
      <c r="C32" s="39">
        <v>200000</v>
      </c>
      <c r="D32" s="12">
        <f>ROUNDUP($D$2/3,0)</f>
        <v>2</v>
      </c>
      <c r="E32" s="39">
        <f t="shared" si="1"/>
        <v>400000</v>
      </c>
    </row>
    <row r="33" spans="1:5" ht="22.5" customHeight="1" x14ac:dyDescent="0.3">
      <c r="A33" s="16" t="s">
        <v>33</v>
      </c>
      <c r="B33" s="7"/>
      <c r="C33" s="40"/>
      <c r="D33" s="12"/>
      <c r="E33" s="39">
        <f t="shared" si="1"/>
        <v>0</v>
      </c>
    </row>
    <row r="34" spans="1:5" ht="22.5" customHeight="1" x14ac:dyDescent="0.3">
      <c r="A34" s="9" t="s">
        <v>34</v>
      </c>
      <c r="B34" s="7"/>
      <c r="C34" s="40"/>
      <c r="D34" s="12"/>
      <c r="E34" s="39">
        <f t="shared" si="1"/>
        <v>0</v>
      </c>
    </row>
    <row r="35" spans="1:5" ht="22.5" customHeight="1" x14ac:dyDescent="0.2">
      <c r="A35" s="10" t="s">
        <v>65</v>
      </c>
      <c r="B35" s="11" t="s">
        <v>24</v>
      </c>
      <c r="C35" s="39">
        <v>250000</v>
      </c>
      <c r="D35" s="12">
        <f>IF((($D$2&gt;=4)*($D$2&lt;=11))=1,3,0)</f>
        <v>3</v>
      </c>
      <c r="E35" s="39">
        <f t="shared" si="1"/>
        <v>750000</v>
      </c>
    </row>
    <row r="36" spans="1:5" ht="22.5" customHeight="1" x14ac:dyDescent="0.3">
      <c r="A36" s="16" t="s">
        <v>36</v>
      </c>
      <c r="B36" s="7"/>
      <c r="C36" s="40"/>
      <c r="D36" s="12"/>
      <c r="E36" s="39">
        <f t="shared" si="1"/>
        <v>0</v>
      </c>
    </row>
    <row r="37" spans="1:5" ht="22.5" customHeight="1" x14ac:dyDescent="0.3">
      <c r="A37" s="9" t="s">
        <v>37</v>
      </c>
      <c r="B37" s="7"/>
      <c r="C37" s="40"/>
      <c r="D37" s="12"/>
      <c r="E37" s="39">
        <f t="shared" si="1"/>
        <v>0</v>
      </c>
    </row>
    <row r="38" spans="1:5" ht="22.5" customHeight="1" x14ac:dyDescent="0.2">
      <c r="A38" s="13" t="s">
        <v>38</v>
      </c>
      <c r="B38" s="11" t="s">
        <v>79</v>
      </c>
      <c r="C38" s="39">
        <v>50000</v>
      </c>
      <c r="D38" s="12">
        <f>ROUNDUP(D2*C2*3/24,0)</f>
        <v>3</v>
      </c>
      <c r="E38" s="39">
        <f t="shared" si="1"/>
        <v>150000</v>
      </c>
    </row>
    <row r="39" spans="1:5" ht="22.5" customHeight="1" x14ac:dyDescent="0.2">
      <c r="A39" s="13" t="s">
        <v>40</v>
      </c>
      <c r="B39" s="11" t="s">
        <v>39</v>
      </c>
      <c r="C39" s="39">
        <v>100000</v>
      </c>
      <c r="D39" s="12">
        <v>1</v>
      </c>
      <c r="E39" s="39">
        <f t="shared" si="1"/>
        <v>100000</v>
      </c>
    </row>
    <row r="40" spans="1:5" ht="22.5" customHeight="1" x14ac:dyDescent="0.2">
      <c r="A40" s="13" t="s">
        <v>41</v>
      </c>
      <c r="B40" s="11" t="s">
        <v>13</v>
      </c>
      <c r="C40" s="39">
        <v>60000</v>
      </c>
      <c r="D40" s="12">
        <f>D2</f>
        <v>6</v>
      </c>
      <c r="E40" s="39">
        <f t="shared" si="1"/>
        <v>360000</v>
      </c>
    </row>
    <row r="41" spans="1:5" s="1" customFormat="1" ht="30" customHeight="1" x14ac:dyDescent="0.2">
      <c r="A41" s="18" t="s">
        <v>80</v>
      </c>
      <c r="B41" s="17"/>
      <c r="C41" s="5"/>
      <c r="D41" s="12"/>
      <c r="E41" s="42">
        <f>SUM(E7:E40)</f>
        <v>14612500</v>
      </c>
    </row>
    <row r="42" spans="1:5" ht="36" customHeight="1" x14ac:dyDescent="0.2">
      <c r="A42" s="18" t="s">
        <v>84</v>
      </c>
      <c r="B42" s="8"/>
      <c r="C42" s="8"/>
      <c r="D42" s="8"/>
      <c r="E42" s="42">
        <f>E41/D2</f>
        <v>2435416.6666666665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232-6031-4C4E-845F-A3AF549BC7A9}">
  <sheetPr codeName="Sheet10">
    <pageSetUpPr fitToPage="1"/>
  </sheetPr>
  <dimension ref="A1:N45"/>
  <sheetViews>
    <sheetView zoomScale="70" zoomScaleNormal="70" workbookViewId="0">
      <selection activeCell="E2" sqref="E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73</v>
      </c>
      <c r="B1" s="2" t="s">
        <v>74</v>
      </c>
      <c r="C1" s="2" t="s">
        <v>75</v>
      </c>
      <c r="D1" s="2" t="s">
        <v>76</v>
      </c>
      <c r="E1" s="2" t="s">
        <v>92</v>
      </c>
    </row>
    <row r="2" spans="1:14" ht="27.75" customHeight="1" x14ac:dyDescent="0.2">
      <c r="A2" s="3" t="s">
        <v>91</v>
      </c>
      <c r="B2" s="3">
        <v>32</v>
      </c>
      <c r="C2" s="3">
        <v>4</v>
      </c>
      <c r="D2" s="43">
        <v>7</v>
      </c>
      <c r="E2" s="44">
        <v>3650000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58</v>
      </c>
      <c r="B7" s="11" t="s">
        <v>5</v>
      </c>
      <c r="C7" s="39">
        <v>337500</v>
      </c>
      <c r="D7" s="12">
        <v>2</v>
      </c>
      <c r="E7" s="39">
        <f t="shared" ref="E7:E28" si="0">C7*D7</f>
        <v>675000</v>
      </c>
    </row>
    <row r="8" spans="1:14" ht="22.5" customHeight="1" x14ac:dyDescent="0.25">
      <c r="A8" s="10" t="s">
        <v>62</v>
      </c>
      <c r="B8" s="11" t="s">
        <v>5</v>
      </c>
      <c r="C8" s="39">
        <v>562500</v>
      </c>
      <c r="D8" s="12">
        <v>1</v>
      </c>
      <c r="E8" s="39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8</v>
      </c>
      <c r="B9" s="7"/>
      <c r="C9" s="40"/>
      <c r="D9" s="12"/>
      <c r="E9" s="39"/>
    </row>
    <row r="10" spans="1:14" ht="22.5" customHeight="1" x14ac:dyDescent="0.2">
      <c r="A10" s="10" t="s">
        <v>55</v>
      </c>
      <c r="B10" s="11" t="s">
        <v>5</v>
      </c>
      <c r="C10" s="39">
        <v>750000</v>
      </c>
      <c r="D10" s="12">
        <v>2</v>
      </c>
      <c r="E10" s="39">
        <f t="shared" si="0"/>
        <v>1500000</v>
      </c>
    </row>
    <row r="11" spans="1:14" ht="22.5" customHeight="1" x14ac:dyDescent="0.2">
      <c r="A11" s="10" t="s">
        <v>56</v>
      </c>
      <c r="B11" s="11" t="s">
        <v>5</v>
      </c>
      <c r="C11" s="39">
        <v>950000</v>
      </c>
      <c r="D11" s="12">
        <v>1</v>
      </c>
      <c r="E11" s="39">
        <f t="shared" si="0"/>
        <v>950000</v>
      </c>
    </row>
    <row r="12" spans="1:14" ht="22.5" customHeight="1" x14ac:dyDescent="0.3">
      <c r="A12" s="9" t="s">
        <v>9</v>
      </c>
      <c r="B12" s="7"/>
      <c r="C12" s="40"/>
      <c r="D12" s="12"/>
      <c r="E12" s="39"/>
    </row>
    <row r="13" spans="1:14" ht="22.5" customHeight="1" x14ac:dyDescent="0.2">
      <c r="A13" s="13" t="s">
        <v>10</v>
      </c>
      <c r="B13" s="11" t="s">
        <v>5</v>
      </c>
      <c r="C13" s="39">
        <v>550000</v>
      </c>
      <c r="D13" s="12">
        <v>3</v>
      </c>
      <c r="E13" s="39">
        <f t="shared" si="0"/>
        <v>1650000</v>
      </c>
    </row>
    <row r="14" spans="1:14" ht="22.5" customHeight="1" x14ac:dyDescent="0.2">
      <c r="A14" s="10" t="s">
        <v>90</v>
      </c>
      <c r="B14" s="11" t="s">
        <v>5</v>
      </c>
      <c r="C14" s="39">
        <v>350000</v>
      </c>
      <c r="D14" s="12">
        <v>1</v>
      </c>
      <c r="E14" s="39">
        <f t="shared" ref="E14" si="1">C14*D14</f>
        <v>350000</v>
      </c>
    </row>
    <row r="15" spans="1:14" ht="22.5" customHeight="1" x14ac:dyDescent="0.3">
      <c r="A15" s="6" t="s">
        <v>11</v>
      </c>
      <c r="B15" s="7"/>
      <c r="C15" s="40"/>
      <c r="D15" s="12"/>
      <c r="E15" s="39"/>
    </row>
    <row r="16" spans="1:14" ht="22.5" customHeight="1" x14ac:dyDescent="0.3">
      <c r="A16" s="9" t="s">
        <v>12</v>
      </c>
      <c r="B16" s="7"/>
      <c r="C16" s="40"/>
      <c r="D16" s="12"/>
      <c r="E16" s="39"/>
    </row>
    <row r="17" spans="1:5" ht="22.5" customHeight="1" x14ac:dyDescent="0.2">
      <c r="A17" s="10" t="s">
        <v>53</v>
      </c>
      <c r="B17" s="11" t="s">
        <v>13</v>
      </c>
      <c r="C17" s="39">
        <v>75000</v>
      </c>
      <c r="D17" s="12">
        <f>D2</f>
        <v>7</v>
      </c>
      <c r="E17" s="39">
        <f t="shared" si="0"/>
        <v>525000</v>
      </c>
    </row>
    <row r="18" spans="1:5" ht="22.5" customHeight="1" x14ac:dyDescent="0.2">
      <c r="A18" s="10" t="s">
        <v>93</v>
      </c>
      <c r="B18" s="11" t="s">
        <v>13</v>
      </c>
      <c r="C18" s="39">
        <v>35000</v>
      </c>
      <c r="D18" s="12">
        <f>D2</f>
        <v>7</v>
      </c>
      <c r="E18" s="39">
        <f t="shared" si="0"/>
        <v>245000</v>
      </c>
    </row>
    <row r="19" spans="1:5" ht="22.5" customHeight="1" x14ac:dyDescent="0.2">
      <c r="A19" s="10" t="s">
        <v>15</v>
      </c>
      <c r="B19" s="11" t="s">
        <v>13</v>
      </c>
      <c r="C19" s="39">
        <v>25000</v>
      </c>
      <c r="D19" s="12">
        <f>D2</f>
        <v>7</v>
      </c>
      <c r="E19" s="39">
        <f t="shared" si="0"/>
        <v>175000</v>
      </c>
    </row>
    <row r="20" spans="1:5" ht="22.5" customHeight="1" x14ac:dyDescent="0.2">
      <c r="A20" s="10" t="s">
        <v>72</v>
      </c>
      <c r="B20" s="11" t="s">
        <v>5</v>
      </c>
      <c r="C20" s="39">
        <v>250000</v>
      </c>
      <c r="D20" s="12">
        <v>1</v>
      </c>
      <c r="E20" s="39">
        <f t="shared" si="0"/>
        <v>250000</v>
      </c>
    </row>
    <row r="21" spans="1:5" ht="22.5" customHeight="1" x14ac:dyDescent="0.2">
      <c r="A21" s="13" t="s">
        <v>88</v>
      </c>
      <c r="B21" s="11" t="s">
        <v>13</v>
      </c>
      <c r="C21" s="39">
        <v>65000</v>
      </c>
      <c r="D21" s="12">
        <f>D2</f>
        <v>7</v>
      </c>
      <c r="E21" s="39">
        <f t="shared" si="0"/>
        <v>455000</v>
      </c>
    </row>
    <row r="22" spans="1:5" ht="22.5" customHeight="1" x14ac:dyDescent="0.2">
      <c r="A22" s="13" t="s">
        <v>89</v>
      </c>
      <c r="B22" s="11" t="s">
        <v>13</v>
      </c>
      <c r="C22" s="39">
        <v>65000</v>
      </c>
      <c r="D22" s="12">
        <f>D2</f>
        <v>7</v>
      </c>
      <c r="E22" s="39">
        <f t="shared" si="0"/>
        <v>455000</v>
      </c>
    </row>
    <row r="23" spans="1:5" ht="22.5" customHeight="1" x14ac:dyDescent="0.3">
      <c r="A23" s="9" t="s">
        <v>17</v>
      </c>
      <c r="B23" s="7"/>
      <c r="C23" s="41"/>
      <c r="D23" s="12"/>
      <c r="E23" s="39"/>
    </row>
    <row r="24" spans="1:5" ht="22.5" customHeight="1" x14ac:dyDescent="0.2">
      <c r="A24" s="10" t="s">
        <v>52</v>
      </c>
      <c r="B24" s="11" t="s">
        <v>13</v>
      </c>
      <c r="C24" s="39">
        <v>160000</v>
      </c>
      <c r="D24" s="12">
        <f>D2</f>
        <v>7</v>
      </c>
      <c r="E24" s="39">
        <f t="shared" si="0"/>
        <v>1120000</v>
      </c>
    </row>
    <row r="25" spans="1:5" ht="22.5" customHeight="1" x14ac:dyDescent="0.2">
      <c r="A25" s="13" t="s">
        <v>18</v>
      </c>
      <c r="B25" s="11" t="s">
        <v>13</v>
      </c>
      <c r="C25" s="39">
        <v>500000</v>
      </c>
      <c r="D25" s="12">
        <f>ROUNDUP(D2/4,0)</f>
        <v>2</v>
      </c>
      <c r="E25" s="39">
        <f t="shared" si="0"/>
        <v>1000000</v>
      </c>
    </row>
    <row r="26" spans="1:5" ht="22.5" customHeight="1" x14ac:dyDescent="0.3">
      <c r="A26" s="15" t="s">
        <v>19</v>
      </c>
      <c r="B26" s="7"/>
      <c r="C26" s="41"/>
      <c r="D26" s="12"/>
      <c r="E26" s="39"/>
    </row>
    <row r="27" spans="1:5" ht="22.5" customHeight="1" x14ac:dyDescent="0.2">
      <c r="A27" s="13" t="s">
        <v>20</v>
      </c>
      <c r="B27" s="11" t="s">
        <v>13</v>
      </c>
      <c r="C27" s="39">
        <v>90000</v>
      </c>
      <c r="D27" s="12">
        <f>D2</f>
        <v>7</v>
      </c>
      <c r="E27" s="39">
        <f t="shared" si="0"/>
        <v>630000</v>
      </c>
    </row>
    <row r="28" spans="1:5" ht="22.5" customHeight="1" x14ac:dyDescent="0.2">
      <c r="A28" s="10" t="s">
        <v>71</v>
      </c>
      <c r="B28" s="11" t="s">
        <v>5</v>
      </c>
      <c r="C28" s="39">
        <v>100000</v>
      </c>
      <c r="D28" s="12">
        <v>1</v>
      </c>
      <c r="E28" s="39">
        <f t="shared" si="0"/>
        <v>100000</v>
      </c>
    </row>
    <row r="29" spans="1:5" ht="22.5" customHeight="1" x14ac:dyDescent="0.3">
      <c r="A29" s="16" t="s">
        <v>21</v>
      </c>
      <c r="B29" s="7"/>
      <c r="C29" s="40"/>
      <c r="D29" s="12"/>
      <c r="E29" s="39"/>
    </row>
    <row r="30" spans="1:5" ht="22.5" customHeight="1" x14ac:dyDescent="0.3">
      <c r="A30" s="9" t="s">
        <v>22</v>
      </c>
      <c r="B30" s="7"/>
      <c r="C30" s="40"/>
      <c r="D30" s="12"/>
      <c r="E30" s="39"/>
    </row>
    <row r="31" spans="1:5" ht="22.5" customHeight="1" x14ac:dyDescent="0.2">
      <c r="A31" s="10" t="s">
        <v>26</v>
      </c>
      <c r="B31" s="11" t="s">
        <v>24</v>
      </c>
      <c r="C31" s="39">
        <v>1100000</v>
      </c>
      <c r="D31" s="12">
        <f>IF((($D$2&gt;=4)*($D$2&lt;=11))=1,3,0)</f>
        <v>3</v>
      </c>
      <c r="E31" s="39">
        <f t="shared" ref="E31:E43" si="2">C31*D31</f>
        <v>3300000</v>
      </c>
    </row>
    <row r="32" spans="1:5" ht="22.5" customHeight="1" x14ac:dyDescent="0.3">
      <c r="A32" s="9" t="s">
        <v>28</v>
      </c>
      <c r="B32" s="7"/>
      <c r="C32" s="40"/>
      <c r="D32" s="12"/>
      <c r="E32" s="39"/>
    </row>
    <row r="33" spans="1:5" ht="22.5" customHeight="1" x14ac:dyDescent="0.2">
      <c r="A33" s="13" t="s">
        <v>29</v>
      </c>
      <c r="B33" s="11" t="s">
        <v>5</v>
      </c>
      <c r="C33" s="39">
        <v>200000</v>
      </c>
      <c r="D33" s="12">
        <f>IF((($D$2&gt;=10)*($D$2&lt;=11))=1,2,1)</f>
        <v>1</v>
      </c>
      <c r="E33" s="39">
        <f t="shared" si="2"/>
        <v>200000</v>
      </c>
    </row>
    <row r="34" spans="1:5" ht="22.5" customHeight="1" x14ac:dyDescent="0.3">
      <c r="A34" s="9" t="s">
        <v>30</v>
      </c>
      <c r="B34" s="7"/>
      <c r="C34" s="40"/>
      <c r="D34" s="12"/>
      <c r="E34" s="39"/>
    </row>
    <row r="35" spans="1:5" ht="22.5" customHeight="1" x14ac:dyDescent="0.2">
      <c r="A35" s="13" t="s">
        <v>31</v>
      </c>
      <c r="B35" s="11" t="s">
        <v>32</v>
      </c>
      <c r="C35" s="39">
        <v>200000</v>
      </c>
      <c r="D35" s="12">
        <f>ROUNDUP($D$2/3,0)</f>
        <v>3</v>
      </c>
      <c r="E35" s="39">
        <f t="shared" si="2"/>
        <v>600000</v>
      </c>
    </row>
    <row r="36" spans="1:5" ht="22.5" customHeight="1" x14ac:dyDescent="0.3">
      <c r="A36" s="16" t="s">
        <v>33</v>
      </c>
      <c r="B36" s="7"/>
      <c r="C36" s="40"/>
      <c r="D36" s="12"/>
      <c r="E36" s="39"/>
    </row>
    <row r="37" spans="1:5" ht="22.5" customHeight="1" x14ac:dyDescent="0.3">
      <c r="A37" s="9" t="s">
        <v>34</v>
      </c>
      <c r="B37" s="7"/>
      <c r="C37" s="40"/>
      <c r="D37" s="12"/>
      <c r="E37" s="39"/>
    </row>
    <row r="38" spans="1:5" ht="22.5" customHeight="1" x14ac:dyDescent="0.2">
      <c r="A38" s="10" t="s">
        <v>65</v>
      </c>
      <c r="B38" s="11" t="s">
        <v>24</v>
      </c>
      <c r="C38" s="39">
        <v>250000</v>
      </c>
      <c r="D38" s="12">
        <f>IF((($D$2&gt;=4)*($D$2&lt;=11))=1,3,0)</f>
        <v>3</v>
      </c>
      <c r="E38" s="39">
        <f t="shared" si="2"/>
        <v>750000</v>
      </c>
    </row>
    <row r="39" spans="1:5" ht="22.5" customHeight="1" x14ac:dyDescent="0.3">
      <c r="A39" s="16" t="s">
        <v>36</v>
      </c>
      <c r="B39" s="7"/>
      <c r="C39" s="40"/>
      <c r="D39" s="12"/>
      <c r="E39" s="39"/>
    </row>
    <row r="40" spans="1:5" ht="22.5" customHeight="1" x14ac:dyDescent="0.3">
      <c r="A40" s="9" t="s">
        <v>37</v>
      </c>
      <c r="B40" s="7"/>
      <c r="C40" s="40"/>
      <c r="D40" s="12"/>
      <c r="E40" s="39"/>
    </row>
    <row r="41" spans="1:5" ht="22.5" customHeight="1" x14ac:dyDescent="0.2">
      <c r="A41" s="13" t="s">
        <v>38</v>
      </c>
      <c r="B41" s="11" t="s">
        <v>79</v>
      </c>
      <c r="C41" s="39">
        <v>50000</v>
      </c>
      <c r="D41" s="12">
        <f>ROUNDUP(D2*C2*3/24,0)</f>
        <v>4</v>
      </c>
      <c r="E41" s="39">
        <f t="shared" si="2"/>
        <v>200000</v>
      </c>
    </row>
    <row r="42" spans="1:5" ht="22.5" customHeight="1" x14ac:dyDescent="0.2">
      <c r="A42" s="13" t="s">
        <v>40</v>
      </c>
      <c r="B42" s="11" t="s">
        <v>39</v>
      </c>
      <c r="C42" s="39">
        <v>100000</v>
      </c>
      <c r="D42" s="12">
        <v>1</v>
      </c>
      <c r="E42" s="39">
        <f t="shared" si="2"/>
        <v>100000</v>
      </c>
    </row>
    <row r="43" spans="1:5" ht="22.5" customHeight="1" x14ac:dyDescent="0.2">
      <c r="A43" s="13" t="s">
        <v>41</v>
      </c>
      <c r="B43" s="11" t="s">
        <v>13</v>
      </c>
      <c r="C43" s="39">
        <v>60000</v>
      </c>
      <c r="D43" s="12">
        <f>D2</f>
        <v>7</v>
      </c>
      <c r="E43" s="39">
        <f t="shared" si="2"/>
        <v>420000</v>
      </c>
    </row>
    <row r="44" spans="1:5" s="1" customFormat="1" ht="30" customHeight="1" x14ac:dyDescent="0.2">
      <c r="A44" s="18" t="s">
        <v>80</v>
      </c>
      <c r="B44" s="17"/>
      <c r="C44" s="5"/>
      <c r="D44" s="12"/>
      <c r="E44" s="42">
        <f>SUM(E7:E43)</f>
        <v>16212500</v>
      </c>
    </row>
    <row r="45" spans="1:5" ht="36" customHeight="1" x14ac:dyDescent="0.2">
      <c r="A45" s="18" t="s">
        <v>84</v>
      </c>
      <c r="B45" s="8"/>
      <c r="C45" s="8"/>
      <c r="D45" s="8"/>
      <c r="E45" s="42">
        <f>E44/D2</f>
        <v>2316071.4285714286</v>
      </c>
    </row>
  </sheetData>
  <pageMargins left="0.25" right="0.25" top="0.75" bottom="0.75" header="0.3" footer="0.3"/>
  <pageSetup paperSize="9" scale="58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2914-6262-7C47-9CFE-2BF72629DD78}">
  <sheetPr codeName="Sheet11">
    <pageSetUpPr fitToPage="1"/>
  </sheetPr>
  <dimension ref="A1:E42"/>
  <sheetViews>
    <sheetView zoomScale="85" zoomScaleNormal="85" workbookViewId="0">
      <selection activeCell="E2" sqref="E2"/>
    </sheetView>
  </sheetViews>
  <sheetFormatPr defaultColWidth="9" defaultRowHeight="12.75" x14ac:dyDescent="0.2"/>
  <cols>
    <col min="1" max="1" width="96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5" ht="27.75" customHeight="1" x14ac:dyDescent="0.2">
      <c r="A2" s="3" t="s">
        <v>91</v>
      </c>
      <c r="B2" s="3"/>
      <c r="C2" s="3">
        <v>4</v>
      </c>
      <c r="D2" s="43">
        <v>8</v>
      </c>
      <c r="E2" s="44">
        <v>3175000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58</v>
      </c>
      <c r="B7" s="11" t="s">
        <v>5</v>
      </c>
      <c r="C7" s="39">
        <v>337500</v>
      </c>
      <c r="D7" s="12">
        <f>ROUNDUP($D$2/2,0)</f>
        <v>4</v>
      </c>
      <c r="E7" s="39">
        <f t="shared" ref="E7:E25" si="0">C7*D7</f>
        <v>1350000</v>
      </c>
    </row>
    <row r="8" spans="1:5" ht="22.5" customHeight="1" x14ac:dyDescent="0.3">
      <c r="A8" s="9" t="s">
        <v>8</v>
      </c>
      <c r="B8" s="7"/>
      <c r="C8" s="40"/>
      <c r="D8" s="12"/>
      <c r="E8" s="39"/>
    </row>
    <row r="9" spans="1:5" ht="22.5" customHeight="1" x14ac:dyDescent="0.2">
      <c r="A9" s="10" t="s">
        <v>55</v>
      </c>
      <c r="B9" s="11" t="s">
        <v>5</v>
      </c>
      <c r="C9" s="39">
        <v>750000</v>
      </c>
      <c r="D9" s="12">
        <f>ROUNDUP(D2/2,0)</f>
        <v>4</v>
      </c>
      <c r="E9" s="39">
        <f t="shared" si="0"/>
        <v>3000000</v>
      </c>
    </row>
    <row r="10" spans="1:5" ht="22.5" customHeight="1" x14ac:dyDescent="0.3">
      <c r="A10" s="9" t="s">
        <v>9</v>
      </c>
      <c r="B10" s="7"/>
      <c r="C10" s="40"/>
      <c r="D10" s="12"/>
      <c r="E10" s="39">
        <f t="shared" si="0"/>
        <v>0</v>
      </c>
    </row>
    <row r="11" spans="1:5" ht="22.5" customHeight="1" x14ac:dyDescent="0.2">
      <c r="A11" s="13" t="s">
        <v>10</v>
      </c>
      <c r="B11" s="11" t="s">
        <v>5</v>
      </c>
      <c r="C11" s="39">
        <v>550000</v>
      </c>
      <c r="D11" s="12">
        <f>ROUNDUP($D$2/2,0)</f>
        <v>4</v>
      </c>
      <c r="E11" s="39">
        <f t="shared" si="0"/>
        <v>2200000</v>
      </c>
    </row>
    <row r="12" spans="1:5" ht="22.5" customHeight="1" x14ac:dyDescent="0.3">
      <c r="A12" s="6" t="s">
        <v>11</v>
      </c>
      <c r="B12" s="7"/>
      <c r="C12" s="40"/>
      <c r="D12" s="12"/>
      <c r="E12" s="39"/>
    </row>
    <row r="13" spans="1:5" ht="22.5" customHeight="1" x14ac:dyDescent="0.3">
      <c r="A13" s="9" t="s">
        <v>12</v>
      </c>
      <c r="B13" s="7"/>
      <c r="C13" s="40"/>
      <c r="D13" s="12"/>
      <c r="E13" s="39"/>
    </row>
    <row r="14" spans="1:5" ht="22.5" customHeight="1" x14ac:dyDescent="0.2">
      <c r="A14" s="10" t="s">
        <v>53</v>
      </c>
      <c r="B14" s="11" t="s">
        <v>13</v>
      </c>
      <c r="C14" s="39">
        <v>75000</v>
      </c>
      <c r="D14" s="12">
        <f>D2</f>
        <v>8</v>
      </c>
      <c r="E14" s="39">
        <f t="shared" si="0"/>
        <v>600000</v>
      </c>
    </row>
    <row r="15" spans="1:5" ht="22.5" customHeight="1" x14ac:dyDescent="0.2">
      <c r="A15" s="10" t="s">
        <v>93</v>
      </c>
      <c r="B15" s="11" t="s">
        <v>13</v>
      </c>
      <c r="C15" s="39">
        <v>35000</v>
      </c>
      <c r="D15" s="12">
        <f>D2</f>
        <v>8</v>
      </c>
      <c r="E15" s="39">
        <f t="shared" si="0"/>
        <v>280000</v>
      </c>
    </row>
    <row r="16" spans="1:5" ht="22.5" customHeight="1" x14ac:dyDescent="0.2">
      <c r="A16" s="10" t="s">
        <v>15</v>
      </c>
      <c r="B16" s="11" t="s">
        <v>13</v>
      </c>
      <c r="C16" s="39">
        <v>25000</v>
      </c>
      <c r="D16" s="12">
        <f>D2</f>
        <v>8</v>
      </c>
      <c r="E16" s="39">
        <f t="shared" si="0"/>
        <v>200000</v>
      </c>
    </row>
    <row r="17" spans="1:5" ht="22.5" customHeight="1" x14ac:dyDescent="0.2">
      <c r="A17" s="10" t="s">
        <v>72</v>
      </c>
      <c r="B17" s="11" t="s">
        <v>5</v>
      </c>
      <c r="C17" s="39">
        <v>250000</v>
      </c>
      <c r="D17" s="12">
        <v>1</v>
      </c>
      <c r="E17" s="39">
        <f t="shared" si="0"/>
        <v>250000</v>
      </c>
    </row>
    <row r="18" spans="1:5" ht="22.5" customHeight="1" x14ac:dyDescent="0.2">
      <c r="A18" s="13" t="s">
        <v>88</v>
      </c>
      <c r="B18" s="11" t="s">
        <v>13</v>
      </c>
      <c r="C18" s="39">
        <v>65000</v>
      </c>
      <c r="D18" s="12">
        <f>D2</f>
        <v>8</v>
      </c>
      <c r="E18" s="39">
        <f t="shared" si="0"/>
        <v>520000</v>
      </c>
    </row>
    <row r="19" spans="1:5" ht="22.5" customHeight="1" x14ac:dyDescent="0.2">
      <c r="A19" s="13" t="s">
        <v>89</v>
      </c>
      <c r="B19" s="11" t="s">
        <v>13</v>
      </c>
      <c r="C19" s="39">
        <v>65000</v>
      </c>
      <c r="D19" s="12">
        <f>D2</f>
        <v>8</v>
      </c>
      <c r="E19" s="39">
        <f t="shared" si="0"/>
        <v>520000</v>
      </c>
    </row>
    <row r="20" spans="1:5" ht="22.5" customHeight="1" x14ac:dyDescent="0.3">
      <c r="A20" s="9" t="s">
        <v>17</v>
      </c>
      <c r="B20" s="7"/>
      <c r="C20" s="41"/>
      <c r="D20" s="12"/>
      <c r="E20" s="39"/>
    </row>
    <row r="21" spans="1:5" ht="22.5" customHeight="1" x14ac:dyDescent="0.2">
      <c r="A21" s="10" t="s">
        <v>52</v>
      </c>
      <c r="B21" s="11" t="s">
        <v>13</v>
      </c>
      <c r="C21" s="39">
        <v>160000</v>
      </c>
      <c r="D21" s="12">
        <f>D2</f>
        <v>8</v>
      </c>
      <c r="E21" s="39">
        <f t="shared" si="0"/>
        <v>1280000</v>
      </c>
    </row>
    <row r="22" spans="1:5" ht="22.5" customHeight="1" x14ac:dyDescent="0.2">
      <c r="A22" s="13" t="s">
        <v>18</v>
      </c>
      <c r="B22" s="11" t="s">
        <v>13</v>
      </c>
      <c r="C22" s="39">
        <v>500000</v>
      </c>
      <c r="D22" s="12">
        <f>ROUNDUP(D2/4,0)</f>
        <v>2</v>
      </c>
      <c r="E22" s="39">
        <f t="shared" si="0"/>
        <v>1000000</v>
      </c>
    </row>
    <row r="23" spans="1:5" ht="22.5" customHeight="1" x14ac:dyDescent="0.3">
      <c r="A23" s="15" t="s">
        <v>19</v>
      </c>
      <c r="B23" s="7"/>
      <c r="C23" s="41"/>
      <c r="D23" s="12"/>
      <c r="E23" s="39"/>
    </row>
    <row r="24" spans="1:5" ht="22.5" customHeight="1" x14ac:dyDescent="0.2">
      <c r="A24" s="13" t="s">
        <v>20</v>
      </c>
      <c r="B24" s="11" t="s">
        <v>13</v>
      </c>
      <c r="C24" s="39">
        <v>90000</v>
      </c>
      <c r="D24" s="12">
        <f>D2</f>
        <v>8</v>
      </c>
      <c r="E24" s="39">
        <f t="shared" si="0"/>
        <v>720000</v>
      </c>
    </row>
    <row r="25" spans="1:5" ht="22.5" customHeight="1" x14ac:dyDescent="0.2">
      <c r="A25" s="10" t="s">
        <v>71</v>
      </c>
      <c r="B25" s="11" t="s">
        <v>5</v>
      </c>
      <c r="C25" s="39">
        <v>100000</v>
      </c>
      <c r="D25" s="12">
        <v>1</v>
      </c>
      <c r="E25" s="39">
        <f t="shared" si="0"/>
        <v>100000</v>
      </c>
    </row>
    <row r="26" spans="1:5" ht="22.5" customHeight="1" x14ac:dyDescent="0.3">
      <c r="A26" s="16" t="s">
        <v>21</v>
      </c>
      <c r="B26" s="7"/>
      <c r="C26" s="40"/>
      <c r="D26" s="12"/>
      <c r="E26" s="39"/>
    </row>
    <row r="27" spans="1:5" ht="22.5" customHeight="1" x14ac:dyDescent="0.3">
      <c r="A27" s="9" t="s">
        <v>22</v>
      </c>
      <c r="B27" s="7"/>
      <c r="C27" s="40"/>
      <c r="D27" s="12"/>
      <c r="E27" s="39"/>
    </row>
    <row r="28" spans="1:5" ht="22.5" customHeight="1" x14ac:dyDescent="0.2">
      <c r="A28" s="10" t="s">
        <v>26</v>
      </c>
      <c r="B28" s="11" t="s">
        <v>24</v>
      </c>
      <c r="C28" s="39">
        <v>1100000</v>
      </c>
      <c r="D28" s="12">
        <f>IF((($D$2&gt;=4)*($D$2&lt;=11))=1,3,0)</f>
        <v>3</v>
      </c>
      <c r="E28" s="39">
        <f t="shared" ref="E28:E40" si="1">C28*D28</f>
        <v>3300000</v>
      </c>
    </row>
    <row r="29" spans="1:5" ht="22.5" customHeight="1" x14ac:dyDescent="0.3">
      <c r="A29" s="9" t="s">
        <v>28</v>
      </c>
      <c r="B29" s="7"/>
      <c r="C29" s="40"/>
      <c r="D29" s="12"/>
      <c r="E29" s="39"/>
    </row>
    <row r="30" spans="1:5" ht="22.5" customHeight="1" x14ac:dyDescent="0.2">
      <c r="A30" s="13" t="s">
        <v>29</v>
      </c>
      <c r="B30" s="11" t="s">
        <v>5</v>
      </c>
      <c r="C30" s="39">
        <v>200000</v>
      </c>
      <c r="D30" s="12">
        <f>IF((($D$2&gt;=10)*($D$2&lt;=11))=1,2,1)</f>
        <v>1</v>
      </c>
      <c r="E30" s="39">
        <f t="shared" si="1"/>
        <v>200000</v>
      </c>
    </row>
    <row r="31" spans="1:5" ht="22.5" customHeight="1" x14ac:dyDescent="0.3">
      <c r="A31" s="9" t="s">
        <v>30</v>
      </c>
      <c r="B31" s="7"/>
      <c r="C31" s="40"/>
      <c r="D31" s="12"/>
      <c r="E31" s="39"/>
    </row>
    <row r="32" spans="1:5" ht="22.5" customHeight="1" x14ac:dyDescent="0.2">
      <c r="A32" s="13" t="s">
        <v>31</v>
      </c>
      <c r="B32" s="11" t="s">
        <v>32</v>
      </c>
      <c r="C32" s="39">
        <v>200000</v>
      </c>
      <c r="D32" s="12">
        <f>ROUNDUP($D$2/3,0)</f>
        <v>3</v>
      </c>
      <c r="E32" s="39">
        <f t="shared" si="1"/>
        <v>600000</v>
      </c>
    </row>
    <row r="33" spans="1:5" ht="22.5" customHeight="1" x14ac:dyDescent="0.3">
      <c r="A33" s="16" t="s">
        <v>33</v>
      </c>
      <c r="B33" s="7"/>
      <c r="C33" s="40"/>
      <c r="D33" s="12"/>
      <c r="E33" s="39"/>
    </row>
    <row r="34" spans="1:5" ht="22.5" customHeight="1" x14ac:dyDescent="0.3">
      <c r="A34" s="9" t="s">
        <v>34</v>
      </c>
      <c r="B34" s="7"/>
      <c r="C34" s="40"/>
      <c r="D34" s="12"/>
      <c r="E34" s="39"/>
    </row>
    <row r="35" spans="1:5" ht="22.5" customHeight="1" x14ac:dyDescent="0.2">
      <c r="A35" s="10" t="s">
        <v>65</v>
      </c>
      <c r="B35" s="11" t="s">
        <v>24</v>
      </c>
      <c r="C35" s="39">
        <v>250000</v>
      </c>
      <c r="D35" s="12">
        <f>IF((($D$2&gt;=4)*($D$2&lt;=11))=1,3,0)</f>
        <v>3</v>
      </c>
      <c r="E35" s="39">
        <f t="shared" si="1"/>
        <v>750000</v>
      </c>
    </row>
    <row r="36" spans="1:5" ht="22.5" customHeight="1" x14ac:dyDescent="0.3">
      <c r="A36" s="16" t="s">
        <v>36</v>
      </c>
      <c r="B36" s="7"/>
      <c r="C36" s="40"/>
      <c r="D36" s="12"/>
      <c r="E36" s="39"/>
    </row>
    <row r="37" spans="1:5" ht="22.5" customHeight="1" x14ac:dyDescent="0.3">
      <c r="A37" s="9" t="s">
        <v>37</v>
      </c>
      <c r="B37" s="7"/>
      <c r="C37" s="40"/>
      <c r="D37" s="12"/>
      <c r="E37" s="39"/>
    </row>
    <row r="38" spans="1:5" ht="22.5" customHeight="1" x14ac:dyDescent="0.2">
      <c r="A38" s="13" t="s">
        <v>38</v>
      </c>
      <c r="B38" s="11" t="s">
        <v>79</v>
      </c>
      <c r="C38" s="39">
        <v>50000</v>
      </c>
      <c r="D38" s="12">
        <f>ROUNDUP(D2*C2*3/24,0)</f>
        <v>4</v>
      </c>
      <c r="E38" s="39">
        <f t="shared" si="1"/>
        <v>200000</v>
      </c>
    </row>
    <row r="39" spans="1:5" ht="22.5" customHeight="1" x14ac:dyDescent="0.2">
      <c r="A39" s="13" t="s">
        <v>40</v>
      </c>
      <c r="B39" s="11" t="s">
        <v>39</v>
      </c>
      <c r="C39" s="39">
        <v>100000</v>
      </c>
      <c r="D39" s="12">
        <v>1</v>
      </c>
      <c r="E39" s="39">
        <f t="shared" si="1"/>
        <v>100000</v>
      </c>
    </row>
    <row r="40" spans="1:5" ht="22.5" customHeight="1" x14ac:dyDescent="0.2">
      <c r="A40" s="13" t="s">
        <v>41</v>
      </c>
      <c r="B40" s="11" t="s">
        <v>13</v>
      </c>
      <c r="C40" s="39">
        <v>60000</v>
      </c>
      <c r="D40" s="12">
        <f>D2</f>
        <v>8</v>
      </c>
      <c r="E40" s="39">
        <f t="shared" si="1"/>
        <v>480000</v>
      </c>
    </row>
    <row r="41" spans="1:5" s="1" customFormat="1" ht="30" customHeight="1" x14ac:dyDescent="0.2">
      <c r="A41" s="18" t="s">
        <v>80</v>
      </c>
      <c r="B41" s="17"/>
      <c r="C41" s="5"/>
      <c r="D41" s="12"/>
      <c r="E41" s="42">
        <f>SUM(E7:E40)</f>
        <v>17650000</v>
      </c>
    </row>
    <row r="42" spans="1:5" ht="36" customHeight="1" x14ac:dyDescent="0.2">
      <c r="A42" s="18" t="s">
        <v>84</v>
      </c>
      <c r="B42" s="8"/>
      <c r="C42" s="8"/>
      <c r="D42" s="8"/>
      <c r="E42" s="42">
        <f>E41/D2</f>
        <v>2206250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829C-9525-E343-8782-0CF883CF29D9}">
  <sheetPr codeName="Sheet12">
    <pageSetUpPr fitToPage="1"/>
  </sheetPr>
  <dimension ref="A1:N45"/>
  <sheetViews>
    <sheetView zoomScale="85" zoomScaleNormal="85" workbookViewId="0">
      <selection activeCell="E2" sqref="E2"/>
    </sheetView>
  </sheetViews>
  <sheetFormatPr defaultColWidth="9" defaultRowHeight="12.75" x14ac:dyDescent="0.2"/>
  <cols>
    <col min="1" max="1" width="97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14" ht="27.75" customHeight="1" x14ac:dyDescent="0.2">
      <c r="A2" s="3" t="s">
        <v>91</v>
      </c>
      <c r="B2" s="3"/>
      <c r="C2" s="3">
        <v>4</v>
      </c>
      <c r="D2" s="43">
        <v>9</v>
      </c>
      <c r="E2" s="44">
        <v>3175000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58</v>
      </c>
      <c r="B7" s="11" t="s">
        <v>5</v>
      </c>
      <c r="C7" s="39">
        <v>337500</v>
      </c>
      <c r="D7" s="12">
        <v>3</v>
      </c>
      <c r="E7" s="39">
        <f t="shared" ref="E7:E28" si="0">C7*D7</f>
        <v>1012500</v>
      </c>
    </row>
    <row r="8" spans="1:14" ht="22.5" customHeight="1" x14ac:dyDescent="0.25">
      <c r="A8" s="10" t="s">
        <v>62</v>
      </c>
      <c r="B8" s="11" t="s">
        <v>5</v>
      </c>
      <c r="C8" s="39">
        <v>562500</v>
      </c>
      <c r="D8" s="12">
        <v>1</v>
      </c>
      <c r="E8" s="39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8</v>
      </c>
      <c r="B9" s="7"/>
      <c r="C9" s="40"/>
      <c r="D9" s="12"/>
      <c r="E9" s="39"/>
    </row>
    <row r="10" spans="1:14" ht="22.5" customHeight="1" x14ac:dyDescent="0.2">
      <c r="A10" s="10" t="s">
        <v>55</v>
      </c>
      <c r="B10" s="11" t="s">
        <v>5</v>
      </c>
      <c r="C10" s="39">
        <v>750000</v>
      </c>
      <c r="D10" s="12">
        <v>3</v>
      </c>
      <c r="E10" s="39">
        <f t="shared" si="0"/>
        <v>2250000</v>
      </c>
    </row>
    <row r="11" spans="1:14" ht="22.5" customHeight="1" x14ac:dyDescent="0.2">
      <c r="A11" s="10" t="s">
        <v>56</v>
      </c>
      <c r="B11" s="11" t="s">
        <v>5</v>
      </c>
      <c r="C11" s="39">
        <v>950000</v>
      </c>
      <c r="D11" s="12">
        <v>1</v>
      </c>
      <c r="E11" s="39">
        <f t="shared" si="0"/>
        <v>950000</v>
      </c>
    </row>
    <row r="12" spans="1:14" ht="22.5" customHeight="1" x14ac:dyDescent="0.3">
      <c r="A12" s="9" t="s">
        <v>9</v>
      </c>
      <c r="B12" s="7"/>
      <c r="C12" s="40"/>
      <c r="D12" s="12"/>
      <c r="E12" s="39"/>
    </row>
    <row r="13" spans="1:14" ht="22.5" customHeight="1" x14ac:dyDescent="0.2">
      <c r="A13" s="13" t="s">
        <v>10</v>
      </c>
      <c r="B13" s="11" t="s">
        <v>5</v>
      </c>
      <c r="C13" s="39">
        <v>550000</v>
      </c>
      <c r="D13" s="12">
        <v>4</v>
      </c>
      <c r="E13" s="39">
        <f t="shared" si="0"/>
        <v>2200000</v>
      </c>
    </row>
    <row r="14" spans="1:14" ht="22.5" customHeight="1" x14ac:dyDescent="0.2">
      <c r="A14" s="10" t="s">
        <v>90</v>
      </c>
      <c r="B14" s="11" t="s">
        <v>5</v>
      </c>
      <c r="C14" s="39">
        <v>350000</v>
      </c>
      <c r="D14" s="12">
        <v>1</v>
      </c>
      <c r="E14" s="39">
        <f t="shared" si="0"/>
        <v>350000</v>
      </c>
    </row>
    <row r="15" spans="1:14" ht="22.5" customHeight="1" x14ac:dyDescent="0.3">
      <c r="A15" s="6" t="s">
        <v>11</v>
      </c>
      <c r="B15" s="7"/>
      <c r="C15" s="40"/>
      <c r="D15" s="12"/>
      <c r="E15" s="39"/>
    </row>
    <row r="16" spans="1:14" ht="22.5" customHeight="1" x14ac:dyDescent="0.3">
      <c r="A16" s="9" t="s">
        <v>12</v>
      </c>
      <c r="B16" s="7"/>
      <c r="C16" s="40"/>
      <c r="D16" s="12"/>
      <c r="E16" s="39"/>
    </row>
    <row r="17" spans="1:5" ht="22.5" customHeight="1" x14ac:dyDescent="0.2">
      <c r="A17" s="10" t="s">
        <v>53</v>
      </c>
      <c r="B17" s="11" t="s">
        <v>13</v>
      </c>
      <c r="C17" s="39">
        <v>75000</v>
      </c>
      <c r="D17" s="12">
        <f>D2</f>
        <v>9</v>
      </c>
      <c r="E17" s="39">
        <f t="shared" si="0"/>
        <v>675000</v>
      </c>
    </row>
    <row r="18" spans="1:5" ht="22.5" customHeight="1" x14ac:dyDescent="0.2">
      <c r="A18" s="10" t="s">
        <v>93</v>
      </c>
      <c r="B18" s="11" t="s">
        <v>13</v>
      </c>
      <c r="C18" s="39">
        <v>35000</v>
      </c>
      <c r="D18" s="12">
        <f>D2</f>
        <v>9</v>
      </c>
      <c r="E18" s="39">
        <f t="shared" si="0"/>
        <v>315000</v>
      </c>
    </row>
    <row r="19" spans="1:5" ht="22.5" customHeight="1" x14ac:dyDescent="0.2">
      <c r="A19" s="10" t="s">
        <v>15</v>
      </c>
      <c r="B19" s="11" t="s">
        <v>13</v>
      </c>
      <c r="C19" s="39">
        <v>25000</v>
      </c>
      <c r="D19" s="12">
        <f>D2</f>
        <v>9</v>
      </c>
      <c r="E19" s="39">
        <f t="shared" si="0"/>
        <v>225000</v>
      </c>
    </row>
    <row r="20" spans="1:5" ht="22.5" customHeight="1" x14ac:dyDescent="0.2">
      <c r="A20" s="10" t="s">
        <v>72</v>
      </c>
      <c r="B20" s="11" t="s">
        <v>5</v>
      </c>
      <c r="C20" s="39">
        <v>250000</v>
      </c>
      <c r="D20" s="12">
        <v>1</v>
      </c>
      <c r="E20" s="39">
        <f t="shared" si="0"/>
        <v>250000</v>
      </c>
    </row>
    <row r="21" spans="1:5" ht="22.5" customHeight="1" x14ac:dyDescent="0.2">
      <c r="A21" s="13" t="s">
        <v>88</v>
      </c>
      <c r="B21" s="11" t="s">
        <v>13</v>
      </c>
      <c r="C21" s="39">
        <v>65000</v>
      </c>
      <c r="D21" s="12">
        <f>D2</f>
        <v>9</v>
      </c>
      <c r="E21" s="39">
        <f t="shared" si="0"/>
        <v>585000</v>
      </c>
    </row>
    <row r="22" spans="1:5" ht="22.5" customHeight="1" x14ac:dyDescent="0.2">
      <c r="A22" s="13" t="s">
        <v>89</v>
      </c>
      <c r="B22" s="11" t="s">
        <v>13</v>
      </c>
      <c r="C22" s="39">
        <v>65000</v>
      </c>
      <c r="D22" s="12">
        <f>D2</f>
        <v>9</v>
      </c>
      <c r="E22" s="39">
        <f t="shared" si="0"/>
        <v>585000</v>
      </c>
    </row>
    <row r="23" spans="1:5" ht="22.5" customHeight="1" x14ac:dyDescent="0.3">
      <c r="A23" s="9" t="s">
        <v>17</v>
      </c>
      <c r="B23" s="7"/>
      <c r="C23" s="41"/>
      <c r="D23" s="12"/>
      <c r="E23" s="39"/>
    </row>
    <row r="24" spans="1:5" ht="22.5" customHeight="1" x14ac:dyDescent="0.2">
      <c r="A24" s="10" t="s">
        <v>52</v>
      </c>
      <c r="B24" s="11" t="s">
        <v>13</v>
      </c>
      <c r="C24" s="39">
        <v>160000</v>
      </c>
      <c r="D24" s="12">
        <f>D2</f>
        <v>9</v>
      </c>
      <c r="E24" s="39">
        <f t="shared" si="0"/>
        <v>1440000</v>
      </c>
    </row>
    <row r="25" spans="1:5" ht="22.5" customHeight="1" x14ac:dyDescent="0.2">
      <c r="A25" s="13" t="s">
        <v>18</v>
      </c>
      <c r="B25" s="11" t="s">
        <v>13</v>
      </c>
      <c r="C25" s="39">
        <v>500000</v>
      </c>
      <c r="D25" s="12">
        <f>ROUNDUP(D2/4,0)</f>
        <v>3</v>
      </c>
      <c r="E25" s="39">
        <f t="shared" si="0"/>
        <v>1500000</v>
      </c>
    </row>
    <row r="26" spans="1:5" ht="22.5" customHeight="1" x14ac:dyDescent="0.3">
      <c r="A26" s="15" t="s">
        <v>19</v>
      </c>
      <c r="B26" s="7"/>
      <c r="C26" s="41"/>
      <c r="D26" s="12"/>
      <c r="E26" s="39"/>
    </row>
    <row r="27" spans="1:5" ht="22.5" customHeight="1" x14ac:dyDescent="0.2">
      <c r="A27" s="13" t="s">
        <v>20</v>
      </c>
      <c r="B27" s="11" t="s">
        <v>13</v>
      </c>
      <c r="C27" s="39">
        <v>90000</v>
      </c>
      <c r="D27" s="12">
        <f>D2</f>
        <v>9</v>
      </c>
      <c r="E27" s="39">
        <f t="shared" si="0"/>
        <v>810000</v>
      </c>
    </row>
    <row r="28" spans="1:5" ht="22.5" customHeight="1" x14ac:dyDescent="0.2">
      <c r="A28" s="10" t="s">
        <v>71</v>
      </c>
      <c r="B28" s="11" t="s">
        <v>5</v>
      </c>
      <c r="C28" s="39">
        <v>100000</v>
      </c>
      <c r="D28" s="12">
        <v>1</v>
      </c>
      <c r="E28" s="39">
        <f t="shared" si="0"/>
        <v>100000</v>
      </c>
    </row>
    <row r="29" spans="1:5" ht="22.5" customHeight="1" x14ac:dyDescent="0.3">
      <c r="A29" s="16" t="s">
        <v>21</v>
      </c>
      <c r="B29" s="7"/>
      <c r="C29" s="40"/>
      <c r="D29" s="12"/>
      <c r="E29" s="39"/>
    </row>
    <row r="30" spans="1:5" ht="22.5" customHeight="1" x14ac:dyDescent="0.3">
      <c r="A30" s="9" t="s">
        <v>22</v>
      </c>
      <c r="B30" s="7"/>
      <c r="C30" s="40"/>
      <c r="D30" s="12"/>
      <c r="E30" s="39"/>
    </row>
    <row r="31" spans="1:5" ht="22.5" customHeight="1" x14ac:dyDescent="0.2">
      <c r="A31" s="10" t="s">
        <v>26</v>
      </c>
      <c r="B31" s="11" t="s">
        <v>24</v>
      </c>
      <c r="C31" s="39">
        <v>1100000</v>
      </c>
      <c r="D31" s="12">
        <f>IF((($D$2&gt;=4)*($D$2&lt;=11))=1,3,0)</f>
        <v>3</v>
      </c>
      <c r="E31" s="39">
        <f t="shared" ref="E31:E43" si="1">C31*D31</f>
        <v>3300000</v>
      </c>
    </row>
    <row r="32" spans="1:5" ht="22.5" customHeight="1" x14ac:dyDescent="0.3">
      <c r="A32" s="9" t="s">
        <v>28</v>
      </c>
      <c r="B32" s="7"/>
      <c r="C32" s="40"/>
      <c r="D32" s="12"/>
      <c r="E32" s="39"/>
    </row>
    <row r="33" spans="1:5" ht="22.5" customHeight="1" x14ac:dyDescent="0.2">
      <c r="A33" s="13" t="s">
        <v>29</v>
      </c>
      <c r="B33" s="11" t="s">
        <v>5</v>
      </c>
      <c r="C33" s="39">
        <v>200000</v>
      </c>
      <c r="D33" s="12">
        <f>IF((($D$2&gt;=10)*($D$2&lt;=11))=1,2,1)</f>
        <v>1</v>
      </c>
      <c r="E33" s="39">
        <f t="shared" si="1"/>
        <v>200000</v>
      </c>
    </row>
    <row r="34" spans="1:5" ht="22.5" customHeight="1" x14ac:dyDescent="0.3">
      <c r="A34" s="9" t="s">
        <v>30</v>
      </c>
      <c r="B34" s="7"/>
      <c r="C34" s="40"/>
      <c r="D34" s="12"/>
      <c r="E34" s="39"/>
    </row>
    <row r="35" spans="1:5" ht="22.5" customHeight="1" x14ac:dyDescent="0.2">
      <c r="A35" s="13" t="s">
        <v>31</v>
      </c>
      <c r="B35" s="11" t="s">
        <v>32</v>
      </c>
      <c r="C35" s="39">
        <v>200000</v>
      </c>
      <c r="D35" s="12">
        <f>ROUNDUP($D$2/3,0)</f>
        <v>3</v>
      </c>
      <c r="E35" s="39">
        <f t="shared" si="1"/>
        <v>600000</v>
      </c>
    </row>
    <row r="36" spans="1:5" ht="22.5" customHeight="1" x14ac:dyDescent="0.3">
      <c r="A36" s="16" t="s">
        <v>33</v>
      </c>
      <c r="B36" s="7"/>
      <c r="C36" s="40"/>
      <c r="D36" s="12"/>
      <c r="E36" s="39"/>
    </row>
    <row r="37" spans="1:5" ht="22.5" customHeight="1" x14ac:dyDescent="0.3">
      <c r="A37" s="9" t="s">
        <v>34</v>
      </c>
      <c r="B37" s="7"/>
      <c r="C37" s="40"/>
      <c r="D37" s="12"/>
      <c r="E37" s="39"/>
    </row>
    <row r="38" spans="1:5" ht="22.5" customHeight="1" x14ac:dyDescent="0.2">
      <c r="A38" s="10" t="s">
        <v>65</v>
      </c>
      <c r="B38" s="11" t="s">
        <v>24</v>
      </c>
      <c r="C38" s="39">
        <v>250000</v>
      </c>
      <c r="D38" s="12">
        <f>IF((($D$2&gt;=4)*($D$2&lt;=11))=1,3,0)</f>
        <v>3</v>
      </c>
      <c r="E38" s="39">
        <f t="shared" si="1"/>
        <v>750000</v>
      </c>
    </row>
    <row r="39" spans="1:5" ht="22.5" customHeight="1" x14ac:dyDescent="0.3">
      <c r="A39" s="16" t="s">
        <v>36</v>
      </c>
      <c r="B39" s="7"/>
      <c r="C39" s="40"/>
      <c r="D39" s="12"/>
      <c r="E39" s="39"/>
    </row>
    <row r="40" spans="1:5" ht="22.5" customHeight="1" x14ac:dyDescent="0.3">
      <c r="A40" s="9" t="s">
        <v>37</v>
      </c>
      <c r="B40" s="7"/>
      <c r="C40" s="40"/>
      <c r="D40" s="12"/>
      <c r="E40" s="39"/>
    </row>
    <row r="41" spans="1:5" ht="22.5" customHeight="1" x14ac:dyDescent="0.2">
      <c r="A41" s="13" t="s">
        <v>38</v>
      </c>
      <c r="B41" s="11" t="s">
        <v>79</v>
      </c>
      <c r="C41" s="39">
        <v>50000</v>
      </c>
      <c r="D41" s="12">
        <f>ROUNDUP(D2*C2*3/24,0)</f>
        <v>5</v>
      </c>
      <c r="E41" s="39">
        <f t="shared" si="1"/>
        <v>250000</v>
      </c>
    </row>
    <row r="42" spans="1:5" ht="22.5" customHeight="1" x14ac:dyDescent="0.2">
      <c r="A42" s="13" t="s">
        <v>40</v>
      </c>
      <c r="B42" s="11" t="s">
        <v>39</v>
      </c>
      <c r="C42" s="39">
        <v>100000</v>
      </c>
      <c r="D42" s="12">
        <v>1</v>
      </c>
      <c r="E42" s="39">
        <f t="shared" si="1"/>
        <v>100000</v>
      </c>
    </row>
    <row r="43" spans="1:5" ht="22.5" customHeight="1" x14ac:dyDescent="0.2">
      <c r="A43" s="13" t="s">
        <v>41</v>
      </c>
      <c r="B43" s="11" t="s">
        <v>13</v>
      </c>
      <c r="C43" s="39">
        <v>60000</v>
      </c>
      <c r="D43" s="12">
        <f>D2</f>
        <v>9</v>
      </c>
      <c r="E43" s="39">
        <f t="shared" si="1"/>
        <v>540000</v>
      </c>
    </row>
    <row r="44" spans="1:5" s="1" customFormat="1" ht="30" customHeight="1" x14ac:dyDescent="0.2">
      <c r="A44" s="18" t="s">
        <v>80</v>
      </c>
      <c r="B44" s="17"/>
      <c r="C44" s="5"/>
      <c r="D44" s="12"/>
      <c r="E44" s="42">
        <f>SUM(E7:E43)</f>
        <v>19550000</v>
      </c>
    </row>
    <row r="45" spans="1:5" ht="36" customHeight="1" x14ac:dyDescent="0.2">
      <c r="A45" s="18" t="s">
        <v>84</v>
      </c>
      <c r="B45" s="8"/>
      <c r="C45" s="8"/>
      <c r="D45" s="8"/>
      <c r="E45" s="42">
        <f>E44/D2</f>
        <v>2172222.222222222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4C6A-42BF-314C-BB67-61796000DF8C}">
  <sheetPr codeName="Sheet13">
    <pageSetUpPr fitToPage="1"/>
  </sheetPr>
  <dimension ref="A1:E43"/>
  <sheetViews>
    <sheetView zoomScale="70" zoomScaleNormal="70" workbookViewId="0">
      <selection activeCell="E2" sqref="E2"/>
    </sheetView>
  </sheetViews>
  <sheetFormatPr defaultColWidth="9" defaultRowHeight="12.75" x14ac:dyDescent="0.2"/>
  <cols>
    <col min="1" max="1" width="97.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5" ht="27.75" customHeight="1" x14ac:dyDescent="0.2">
      <c r="A2" s="3" t="s">
        <v>91</v>
      </c>
      <c r="B2" s="3"/>
      <c r="C2" s="3">
        <v>4</v>
      </c>
      <c r="D2" s="43">
        <v>10</v>
      </c>
      <c r="E2" s="44">
        <v>3175000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9" t="s">
        <v>4</v>
      </c>
      <c r="B6" s="7"/>
      <c r="C6" s="7"/>
      <c r="D6" s="8"/>
      <c r="E6" s="8"/>
    </row>
    <row r="7" spans="1:5" ht="22.5" customHeight="1" x14ac:dyDescent="0.2">
      <c r="A7" s="10" t="s">
        <v>58</v>
      </c>
      <c r="B7" s="11" t="s">
        <v>5</v>
      </c>
      <c r="C7" s="39">
        <v>337500</v>
      </c>
      <c r="D7" s="12">
        <f>ROUNDUP($D$2/2,0)</f>
        <v>5</v>
      </c>
      <c r="E7" s="39">
        <f t="shared" ref="E7:E25" si="0">C7*D7</f>
        <v>1687500</v>
      </c>
    </row>
    <row r="8" spans="1:5" ht="22.5" customHeight="1" x14ac:dyDescent="0.3">
      <c r="A8" s="9" t="s">
        <v>8</v>
      </c>
      <c r="B8" s="7"/>
      <c r="C8" s="40"/>
      <c r="D8" s="12"/>
      <c r="E8" s="39"/>
    </row>
    <row r="9" spans="1:5" ht="22.5" customHeight="1" x14ac:dyDescent="0.2">
      <c r="A9" s="10" t="s">
        <v>55</v>
      </c>
      <c r="B9" s="11" t="s">
        <v>5</v>
      </c>
      <c r="C9" s="39">
        <v>750000</v>
      </c>
      <c r="D9" s="12">
        <f>ROUNDUP(D2/2,0)</f>
        <v>5</v>
      </c>
      <c r="E9" s="39">
        <f t="shared" si="0"/>
        <v>3750000</v>
      </c>
    </row>
    <row r="10" spans="1:5" ht="22.5" customHeight="1" x14ac:dyDescent="0.3">
      <c r="A10" s="9" t="s">
        <v>9</v>
      </c>
      <c r="B10" s="7"/>
      <c r="C10" s="40"/>
      <c r="D10" s="12"/>
      <c r="E10" s="39"/>
    </row>
    <row r="11" spans="1:5" ht="22.5" customHeight="1" x14ac:dyDescent="0.2">
      <c r="A11" s="13" t="s">
        <v>10</v>
      </c>
      <c r="B11" s="11" t="s">
        <v>5</v>
      </c>
      <c r="C11" s="39">
        <v>550000</v>
      </c>
      <c r="D11" s="12">
        <f>ROUNDUP($D$2/2,0)</f>
        <v>5</v>
      </c>
      <c r="E11" s="39">
        <f t="shared" si="0"/>
        <v>2750000</v>
      </c>
    </row>
    <row r="12" spans="1:5" ht="22.5" customHeight="1" x14ac:dyDescent="0.3">
      <c r="A12" s="6" t="s">
        <v>11</v>
      </c>
      <c r="B12" s="7"/>
      <c r="C12" s="40"/>
      <c r="D12" s="12"/>
      <c r="E12" s="39"/>
    </row>
    <row r="13" spans="1:5" ht="22.5" customHeight="1" x14ac:dyDescent="0.3">
      <c r="A13" s="9" t="s">
        <v>12</v>
      </c>
      <c r="B13" s="7"/>
      <c r="C13" s="40"/>
      <c r="D13" s="12"/>
      <c r="E13" s="39"/>
    </row>
    <row r="14" spans="1:5" ht="22.5" customHeight="1" x14ac:dyDescent="0.2">
      <c r="A14" s="10" t="s">
        <v>53</v>
      </c>
      <c r="B14" s="11" t="s">
        <v>13</v>
      </c>
      <c r="C14" s="39">
        <v>75000</v>
      </c>
      <c r="D14" s="12">
        <f>D2</f>
        <v>10</v>
      </c>
      <c r="E14" s="39">
        <f t="shared" si="0"/>
        <v>750000</v>
      </c>
    </row>
    <row r="15" spans="1:5" ht="22.5" customHeight="1" x14ac:dyDescent="0.2">
      <c r="A15" s="10" t="s">
        <v>93</v>
      </c>
      <c r="B15" s="11" t="s">
        <v>13</v>
      </c>
      <c r="C15" s="39">
        <v>35000</v>
      </c>
      <c r="D15" s="12">
        <f>D2</f>
        <v>10</v>
      </c>
      <c r="E15" s="39">
        <f t="shared" si="0"/>
        <v>350000</v>
      </c>
    </row>
    <row r="16" spans="1:5" ht="22.5" customHeight="1" x14ac:dyDescent="0.2">
      <c r="A16" s="10" t="s">
        <v>15</v>
      </c>
      <c r="B16" s="11" t="s">
        <v>13</v>
      </c>
      <c r="C16" s="39">
        <v>25000</v>
      </c>
      <c r="D16" s="12">
        <f>D2</f>
        <v>10</v>
      </c>
      <c r="E16" s="39">
        <f t="shared" si="0"/>
        <v>250000</v>
      </c>
    </row>
    <row r="17" spans="1:5" ht="22.5" customHeight="1" x14ac:dyDescent="0.2">
      <c r="A17" s="10" t="s">
        <v>72</v>
      </c>
      <c r="B17" s="11" t="s">
        <v>5</v>
      </c>
      <c r="C17" s="39">
        <v>250000</v>
      </c>
      <c r="D17" s="12">
        <v>1</v>
      </c>
      <c r="E17" s="39">
        <f t="shared" si="0"/>
        <v>250000</v>
      </c>
    </row>
    <row r="18" spans="1:5" ht="22.5" customHeight="1" x14ac:dyDescent="0.2">
      <c r="A18" s="13" t="s">
        <v>88</v>
      </c>
      <c r="B18" s="11" t="s">
        <v>13</v>
      </c>
      <c r="C18" s="39">
        <v>65000</v>
      </c>
      <c r="D18" s="12">
        <f>D2</f>
        <v>10</v>
      </c>
      <c r="E18" s="39">
        <f t="shared" si="0"/>
        <v>650000</v>
      </c>
    </row>
    <row r="19" spans="1:5" ht="22.5" customHeight="1" x14ac:dyDescent="0.2">
      <c r="A19" s="13" t="s">
        <v>89</v>
      </c>
      <c r="B19" s="11" t="s">
        <v>13</v>
      </c>
      <c r="C19" s="39">
        <v>65000</v>
      </c>
      <c r="D19" s="12">
        <f>D2</f>
        <v>10</v>
      </c>
      <c r="E19" s="39">
        <f t="shared" si="0"/>
        <v>650000</v>
      </c>
    </row>
    <row r="20" spans="1:5" ht="22.5" customHeight="1" x14ac:dyDescent="0.3">
      <c r="A20" s="9" t="s">
        <v>17</v>
      </c>
      <c r="B20" s="7"/>
      <c r="C20" s="41"/>
      <c r="D20" s="12"/>
      <c r="E20" s="39"/>
    </row>
    <row r="21" spans="1:5" ht="22.5" customHeight="1" x14ac:dyDescent="0.2">
      <c r="A21" s="10" t="s">
        <v>52</v>
      </c>
      <c r="B21" s="11" t="s">
        <v>13</v>
      </c>
      <c r="C21" s="39">
        <v>160000</v>
      </c>
      <c r="D21" s="12">
        <f>D2</f>
        <v>10</v>
      </c>
      <c r="E21" s="39">
        <f t="shared" si="0"/>
        <v>1600000</v>
      </c>
    </row>
    <row r="22" spans="1:5" ht="22.5" customHeight="1" x14ac:dyDescent="0.2">
      <c r="A22" s="13" t="s">
        <v>18</v>
      </c>
      <c r="B22" s="11" t="s">
        <v>13</v>
      </c>
      <c r="C22" s="39">
        <v>500000</v>
      </c>
      <c r="D22" s="12">
        <f>ROUNDUP(D2/4,0)</f>
        <v>3</v>
      </c>
      <c r="E22" s="39">
        <f t="shared" si="0"/>
        <v>1500000</v>
      </c>
    </row>
    <row r="23" spans="1:5" ht="22.5" customHeight="1" x14ac:dyDescent="0.3">
      <c r="A23" s="15" t="s">
        <v>19</v>
      </c>
      <c r="B23" s="7"/>
      <c r="C23" s="41"/>
      <c r="D23" s="12"/>
      <c r="E23" s="39"/>
    </row>
    <row r="24" spans="1:5" ht="22.5" customHeight="1" x14ac:dyDescent="0.2">
      <c r="A24" s="13" t="s">
        <v>20</v>
      </c>
      <c r="B24" s="11" t="s">
        <v>13</v>
      </c>
      <c r="C24" s="39">
        <v>90000</v>
      </c>
      <c r="D24" s="12">
        <f>D2</f>
        <v>10</v>
      </c>
      <c r="E24" s="39">
        <f t="shared" si="0"/>
        <v>900000</v>
      </c>
    </row>
    <row r="25" spans="1:5" ht="22.5" customHeight="1" x14ac:dyDescent="0.2">
      <c r="A25" s="10" t="s">
        <v>71</v>
      </c>
      <c r="B25" s="11" t="s">
        <v>5</v>
      </c>
      <c r="C25" s="39">
        <v>100000</v>
      </c>
      <c r="D25" s="12">
        <v>1</v>
      </c>
      <c r="E25" s="39">
        <f t="shared" si="0"/>
        <v>100000</v>
      </c>
    </row>
    <row r="26" spans="1:5" ht="22.5" customHeight="1" x14ac:dyDescent="0.3">
      <c r="A26" s="16" t="s">
        <v>21</v>
      </c>
      <c r="B26" s="7"/>
      <c r="C26" s="40"/>
      <c r="D26" s="12"/>
      <c r="E26" s="39"/>
    </row>
    <row r="27" spans="1:5" ht="22.5" customHeight="1" x14ac:dyDescent="0.3">
      <c r="A27" s="9" t="s">
        <v>22</v>
      </c>
      <c r="B27" s="7"/>
      <c r="C27" s="40"/>
      <c r="D27" s="12"/>
      <c r="E27" s="39"/>
    </row>
    <row r="28" spans="1:5" ht="22.5" customHeight="1" x14ac:dyDescent="0.2">
      <c r="A28" s="10" t="s">
        <v>26</v>
      </c>
      <c r="B28" s="11" t="s">
        <v>24</v>
      </c>
      <c r="C28" s="39">
        <v>1100000</v>
      </c>
      <c r="D28" s="12">
        <f>IF((($D$2&gt;=4)*($D$2&lt;=11))=1,3,0)</f>
        <v>3</v>
      </c>
      <c r="E28" s="39">
        <f t="shared" ref="E28:E41" si="1">C28*D28</f>
        <v>3300000</v>
      </c>
    </row>
    <row r="29" spans="1:5" ht="22.5" customHeight="1" x14ac:dyDescent="0.2">
      <c r="A29" s="10" t="s">
        <v>87</v>
      </c>
      <c r="B29" s="11" t="s">
        <v>24</v>
      </c>
      <c r="C29" s="39">
        <v>650000</v>
      </c>
      <c r="D29" s="12">
        <v>3</v>
      </c>
      <c r="E29" s="39">
        <f t="shared" si="1"/>
        <v>1950000</v>
      </c>
    </row>
    <row r="30" spans="1:5" ht="22.5" customHeight="1" x14ac:dyDescent="0.3">
      <c r="A30" s="9" t="s">
        <v>28</v>
      </c>
      <c r="B30" s="7"/>
      <c r="C30" s="40"/>
      <c r="D30" s="12"/>
      <c r="E30" s="39"/>
    </row>
    <row r="31" spans="1:5" ht="22.5" customHeight="1" x14ac:dyDescent="0.2">
      <c r="A31" s="13" t="s">
        <v>29</v>
      </c>
      <c r="B31" s="11" t="s">
        <v>5</v>
      </c>
      <c r="C31" s="39">
        <v>200000</v>
      </c>
      <c r="D31" s="12">
        <f>IF((($D$2&gt;=10)*($D$2&lt;=11))=1,2,1)</f>
        <v>2</v>
      </c>
      <c r="E31" s="39">
        <f t="shared" si="1"/>
        <v>400000</v>
      </c>
    </row>
    <row r="32" spans="1:5" ht="22.5" customHeight="1" x14ac:dyDescent="0.3">
      <c r="A32" s="9" t="s">
        <v>30</v>
      </c>
      <c r="B32" s="7"/>
      <c r="C32" s="40"/>
      <c r="D32" s="12"/>
      <c r="E32" s="39"/>
    </row>
    <row r="33" spans="1:5" ht="22.5" customHeight="1" x14ac:dyDescent="0.2">
      <c r="A33" s="13" t="s">
        <v>31</v>
      </c>
      <c r="B33" s="11" t="s">
        <v>32</v>
      </c>
      <c r="C33" s="39">
        <v>200000</v>
      </c>
      <c r="D33" s="12">
        <f>ROUNDUP($D$2/3,0)</f>
        <v>4</v>
      </c>
      <c r="E33" s="39">
        <f t="shared" si="1"/>
        <v>800000</v>
      </c>
    </row>
    <row r="34" spans="1:5" ht="22.5" customHeight="1" x14ac:dyDescent="0.3">
      <c r="A34" s="16" t="s">
        <v>33</v>
      </c>
      <c r="B34" s="7"/>
      <c r="C34" s="40"/>
      <c r="D34" s="12"/>
      <c r="E34" s="39"/>
    </row>
    <row r="35" spans="1:5" ht="22.5" customHeight="1" x14ac:dyDescent="0.3">
      <c r="A35" s="9" t="s">
        <v>34</v>
      </c>
      <c r="B35" s="7"/>
      <c r="C35" s="40"/>
      <c r="D35" s="12"/>
      <c r="E35" s="39"/>
    </row>
    <row r="36" spans="1:5" ht="22.5" customHeight="1" x14ac:dyDescent="0.2">
      <c r="A36" s="10" t="s">
        <v>65</v>
      </c>
      <c r="B36" s="11" t="s">
        <v>24</v>
      </c>
      <c r="C36" s="39">
        <v>250000</v>
      </c>
      <c r="D36" s="12">
        <f>IF((($D$2&gt;=4)*($D$2&lt;=11))=1,3,0)</f>
        <v>3</v>
      </c>
      <c r="E36" s="39">
        <f t="shared" si="1"/>
        <v>750000</v>
      </c>
    </row>
    <row r="37" spans="1:5" ht="22.5" customHeight="1" x14ac:dyDescent="0.3">
      <c r="A37" s="16" t="s">
        <v>36</v>
      </c>
      <c r="B37" s="7"/>
      <c r="C37" s="40"/>
      <c r="D37" s="12"/>
      <c r="E37" s="39"/>
    </row>
    <row r="38" spans="1:5" ht="22.5" customHeight="1" x14ac:dyDescent="0.3">
      <c r="A38" s="9" t="s">
        <v>37</v>
      </c>
      <c r="B38" s="7"/>
      <c r="C38" s="40"/>
      <c r="D38" s="12"/>
      <c r="E38" s="39"/>
    </row>
    <row r="39" spans="1:5" ht="22.5" customHeight="1" x14ac:dyDescent="0.2">
      <c r="A39" s="13" t="s">
        <v>38</v>
      </c>
      <c r="B39" s="11" t="s">
        <v>79</v>
      </c>
      <c r="C39" s="39">
        <v>50000</v>
      </c>
      <c r="D39" s="12">
        <f>ROUNDUP(D2*C2*3/24,0)</f>
        <v>5</v>
      </c>
      <c r="E39" s="39">
        <f t="shared" si="1"/>
        <v>250000</v>
      </c>
    </row>
    <row r="40" spans="1:5" ht="22.5" customHeight="1" x14ac:dyDescent="0.2">
      <c r="A40" s="13" t="s">
        <v>40</v>
      </c>
      <c r="B40" s="11" t="s">
        <v>39</v>
      </c>
      <c r="C40" s="39">
        <v>100000</v>
      </c>
      <c r="D40" s="12">
        <v>1</v>
      </c>
      <c r="E40" s="39">
        <f t="shared" si="1"/>
        <v>100000</v>
      </c>
    </row>
    <row r="41" spans="1:5" ht="22.5" customHeight="1" x14ac:dyDescent="0.2">
      <c r="A41" s="13" t="s">
        <v>41</v>
      </c>
      <c r="B41" s="11" t="s">
        <v>13</v>
      </c>
      <c r="C41" s="39">
        <v>60000</v>
      </c>
      <c r="D41" s="12">
        <f>D2</f>
        <v>10</v>
      </c>
      <c r="E41" s="39">
        <f t="shared" si="1"/>
        <v>600000</v>
      </c>
    </row>
    <row r="42" spans="1:5" s="1" customFormat="1" ht="30" customHeight="1" x14ac:dyDescent="0.2">
      <c r="A42" s="18" t="s">
        <v>80</v>
      </c>
      <c r="B42" s="17"/>
      <c r="C42" s="5"/>
      <c r="D42" s="12"/>
      <c r="E42" s="42">
        <f>SUM(E7:E41)</f>
        <v>23337500</v>
      </c>
    </row>
    <row r="43" spans="1:5" ht="36" customHeight="1" x14ac:dyDescent="0.2">
      <c r="A43" s="18" t="s">
        <v>84</v>
      </c>
      <c r="B43" s="8"/>
      <c r="C43" s="8"/>
      <c r="D43" s="8"/>
      <c r="E43" s="42">
        <f>E42/D2</f>
        <v>2333750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F25A-1A17-534B-A037-5E4FC1DA9F06}">
  <sheetPr codeName="Sheet2">
    <pageSetUpPr fitToPage="1"/>
  </sheetPr>
  <dimension ref="A1:N46"/>
  <sheetViews>
    <sheetView zoomScale="85" zoomScaleNormal="85" workbookViewId="0">
      <selection activeCell="E2" sqref="E2"/>
    </sheetView>
  </sheetViews>
  <sheetFormatPr defaultColWidth="9" defaultRowHeight="12.75" x14ac:dyDescent="0.2"/>
  <cols>
    <col min="1" max="1" width="97.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73</v>
      </c>
      <c r="B1" s="2"/>
      <c r="C1" s="2" t="s">
        <v>75</v>
      </c>
      <c r="D1" s="2" t="s">
        <v>76</v>
      </c>
      <c r="E1" s="2" t="s">
        <v>92</v>
      </c>
    </row>
    <row r="2" spans="1:14" ht="27.75" customHeight="1" x14ac:dyDescent="0.2">
      <c r="A2" s="3" t="s">
        <v>91</v>
      </c>
      <c r="B2" s="3"/>
      <c r="C2" s="3">
        <v>4</v>
      </c>
      <c r="D2" s="43">
        <v>11</v>
      </c>
      <c r="E2" s="44">
        <v>3025000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77</v>
      </c>
      <c r="E4" s="5" t="s">
        <v>78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58</v>
      </c>
      <c r="B7" s="11" t="s">
        <v>5</v>
      </c>
      <c r="C7" s="39">
        <v>337500</v>
      </c>
      <c r="D7" s="12">
        <v>4</v>
      </c>
      <c r="E7" s="39">
        <f t="shared" ref="E7:E28" si="0">C7*D7</f>
        <v>1350000</v>
      </c>
    </row>
    <row r="8" spans="1:14" ht="22.5" customHeight="1" x14ac:dyDescent="0.25">
      <c r="A8" s="10" t="s">
        <v>62</v>
      </c>
      <c r="B8" s="11" t="s">
        <v>5</v>
      </c>
      <c r="C8" s="39">
        <v>562500</v>
      </c>
      <c r="D8" s="12">
        <v>1</v>
      </c>
      <c r="E8" s="39">
        <f t="shared" si="0"/>
        <v>562500</v>
      </c>
      <c r="H8" s="36"/>
      <c r="I8" s="37"/>
      <c r="J8" s="37"/>
      <c r="K8" s="38"/>
      <c r="L8" s="38"/>
      <c r="M8" s="38"/>
      <c r="N8" s="38"/>
    </row>
    <row r="9" spans="1:14" ht="22.5" customHeight="1" x14ac:dyDescent="0.3">
      <c r="A9" s="9" t="s">
        <v>8</v>
      </c>
      <c r="B9" s="7"/>
      <c r="C9" s="40"/>
      <c r="D9" s="12"/>
      <c r="E9" s="39"/>
    </row>
    <row r="10" spans="1:14" ht="22.5" customHeight="1" x14ac:dyDescent="0.2">
      <c r="A10" s="10" t="s">
        <v>55</v>
      </c>
      <c r="B10" s="11" t="s">
        <v>5</v>
      </c>
      <c r="C10" s="39">
        <v>750000</v>
      </c>
      <c r="D10" s="12">
        <v>4</v>
      </c>
      <c r="E10" s="39">
        <f t="shared" si="0"/>
        <v>3000000</v>
      </c>
    </row>
    <row r="11" spans="1:14" ht="22.5" customHeight="1" x14ac:dyDescent="0.2">
      <c r="A11" s="10" t="s">
        <v>56</v>
      </c>
      <c r="B11" s="11" t="s">
        <v>5</v>
      </c>
      <c r="C11" s="39">
        <v>950000</v>
      </c>
      <c r="D11" s="12">
        <v>1</v>
      </c>
      <c r="E11" s="39">
        <f t="shared" si="0"/>
        <v>950000</v>
      </c>
    </row>
    <row r="12" spans="1:14" ht="22.5" customHeight="1" x14ac:dyDescent="0.3">
      <c r="A12" s="9" t="s">
        <v>9</v>
      </c>
      <c r="B12" s="7"/>
      <c r="C12" s="40"/>
      <c r="D12" s="12"/>
      <c r="E12" s="39"/>
    </row>
    <row r="13" spans="1:14" ht="22.5" customHeight="1" x14ac:dyDescent="0.2">
      <c r="A13" s="13" t="s">
        <v>10</v>
      </c>
      <c r="B13" s="11" t="s">
        <v>5</v>
      </c>
      <c r="C13" s="39">
        <v>550000</v>
      </c>
      <c r="D13" s="12">
        <v>5</v>
      </c>
      <c r="E13" s="39">
        <f t="shared" si="0"/>
        <v>2750000</v>
      </c>
    </row>
    <row r="14" spans="1:14" ht="22.5" customHeight="1" x14ac:dyDescent="0.2">
      <c r="A14" s="10" t="s">
        <v>90</v>
      </c>
      <c r="B14" s="11" t="s">
        <v>5</v>
      </c>
      <c r="C14" s="39">
        <v>350000</v>
      </c>
      <c r="D14" s="12">
        <v>1</v>
      </c>
      <c r="E14" s="39">
        <f t="shared" si="0"/>
        <v>350000</v>
      </c>
    </row>
    <row r="15" spans="1:14" ht="22.5" customHeight="1" x14ac:dyDescent="0.3">
      <c r="A15" s="6" t="s">
        <v>11</v>
      </c>
      <c r="B15" s="7"/>
      <c r="C15" s="40"/>
      <c r="D15" s="12"/>
      <c r="E15" s="39"/>
    </row>
    <row r="16" spans="1:14" ht="22.5" customHeight="1" x14ac:dyDescent="0.3">
      <c r="A16" s="9" t="s">
        <v>12</v>
      </c>
      <c r="B16" s="7"/>
      <c r="C16" s="40"/>
      <c r="D16" s="12"/>
      <c r="E16" s="39"/>
    </row>
    <row r="17" spans="1:5" ht="22.5" customHeight="1" x14ac:dyDescent="0.2">
      <c r="A17" s="10" t="s">
        <v>53</v>
      </c>
      <c r="B17" s="11" t="s">
        <v>13</v>
      </c>
      <c r="C17" s="39">
        <v>75000</v>
      </c>
      <c r="D17" s="12">
        <f>D2</f>
        <v>11</v>
      </c>
      <c r="E17" s="39">
        <f t="shared" si="0"/>
        <v>825000</v>
      </c>
    </row>
    <row r="18" spans="1:5" ht="22.5" customHeight="1" x14ac:dyDescent="0.2">
      <c r="A18" s="10" t="s">
        <v>93</v>
      </c>
      <c r="B18" s="11" t="s">
        <v>13</v>
      </c>
      <c r="C18" s="39">
        <v>35000</v>
      </c>
      <c r="D18" s="12">
        <f>D2</f>
        <v>11</v>
      </c>
      <c r="E18" s="39">
        <f t="shared" si="0"/>
        <v>385000</v>
      </c>
    </row>
    <row r="19" spans="1:5" ht="22.5" customHeight="1" x14ac:dyDescent="0.2">
      <c r="A19" s="10" t="s">
        <v>15</v>
      </c>
      <c r="B19" s="11" t="s">
        <v>13</v>
      </c>
      <c r="C19" s="39">
        <v>25000</v>
      </c>
      <c r="D19" s="12">
        <f>D2</f>
        <v>11</v>
      </c>
      <c r="E19" s="39">
        <f t="shared" si="0"/>
        <v>275000</v>
      </c>
    </row>
    <row r="20" spans="1:5" ht="22.5" customHeight="1" x14ac:dyDescent="0.2">
      <c r="A20" s="10" t="s">
        <v>72</v>
      </c>
      <c r="B20" s="11" t="s">
        <v>5</v>
      </c>
      <c r="C20" s="39">
        <v>250000</v>
      </c>
      <c r="D20" s="12">
        <v>1</v>
      </c>
      <c r="E20" s="39">
        <f t="shared" si="0"/>
        <v>250000</v>
      </c>
    </row>
    <row r="21" spans="1:5" ht="22.5" customHeight="1" x14ac:dyDescent="0.2">
      <c r="A21" s="13" t="s">
        <v>88</v>
      </c>
      <c r="B21" s="11" t="s">
        <v>13</v>
      </c>
      <c r="C21" s="39">
        <v>65000</v>
      </c>
      <c r="D21" s="12">
        <f>D2</f>
        <v>11</v>
      </c>
      <c r="E21" s="39">
        <f t="shared" si="0"/>
        <v>715000</v>
      </c>
    </row>
    <row r="22" spans="1:5" ht="22.5" customHeight="1" x14ac:dyDescent="0.2">
      <c r="A22" s="13" t="s">
        <v>89</v>
      </c>
      <c r="B22" s="11" t="s">
        <v>13</v>
      </c>
      <c r="C22" s="39">
        <v>65000</v>
      </c>
      <c r="D22" s="12">
        <f>D2</f>
        <v>11</v>
      </c>
      <c r="E22" s="39">
        <f t="shared" si="0"/>
        <v>715000</v>
      </c>
    </row>
    <row r="23" spans="1:5" ht="22.5" customHeight="1" x14ac:dyDescent="0.3">
      <c r="A23" s="9" t="s">
        <v>17</v>
      </c>
      <c r="B23" s="7"/>
      <c r="C23" s="41"/>
      <c r="D23" s="12"/>
      <c r="E23" s="39"/>
    </row>
    <row r="24" spans="1:5" ht="22.5" customHeight="1" x14ac:dyDescent="0.2">
      <c r="A24" s="10" t="s">
        <v>52</v>
      </c>
      <c r="B24" s="11" t="s">
        <v>13</v>
      </c>
      <c r="C24" s="39">
        <v>160000</v>
      </c>
      <c r="D24" s="12">
        <f>D2</f>
        <v>11</v>
      </c>
      <c r="E24" s="39">
        <f t="shared" si="0"/>
        <v>1760000</v>
      </c>
    </row>
    <row r="25" spans="1:5" ht="22.5" customHeight="1" x14ac:dyDescent="0.2">
      <c r="A25" s="13" t="s">
        <v>18</v>
      </c>
      <c r="B25" s="11" t="s">
        <v>13</v>
      </c>
      <c r="C25" s="39">
        <v>500000</v>
      </c>
      <c r="D25" s="12">
        <f>ROUNDUP(D2/4,0)</f>
        <v>3</v>
      </c>
      <c r="E25" s="39">
        <f t="shared" si="0"/>
        <v>1500000</v>
      </c>
    </row>
    <row r="26" spans="1:5" ht="22.5" customHeight="1" x14ac:dyDescent="0.3">
      <c r="A26" s="15" t="s">
        <v>19</v>
      </c>
      <c r="B26" s="7"/>
      <c r="C26" s="41"/>
      <c r="D26" s="12"/>
      <c r="E26" s="39"/>
    </row>
    <row r="27" spans="1:5" ht="22.5" customHeight="1" x14ac:dyDescent="0.2">
      <c r="A27" s="13" t="s">
        <v>20</v>
      </c>
      <c r="B27" s="11" t="s">
        <v>13</v>
      </c>
      <c r="C27" s="39">
        <v>90000</v>
      </c>
      <c r="D27" s="12">
        <f>D2</f>
        <v>11</v>
      </c>
      <c r="E27" s="39">
        <f t="shared" si="0"/>
        <v>990000</v>
      </c>
    </row>
    <row r="28" spans="1:5" ht="22.5" customHeight="1" x14ac:dyDescent="0.2">
      <c r="A28" s="10" t="s">
        <v>71</v>
      </c>
      <c r="B28" s="11" t="s">
        <v>5</v>
      </c>
      <c r="C28" s="39">
        <v>100000</v>
      </c>
      <c r="D28" s="12">
        <v>1</v>
      </c>
      <c r="E28" s="39">
        <f t="shared" si="0"/>
        <v>100000</v>
      </c>
    </row>
    <row r="29" spans="1:5" ht="22.5" customHeight="1" x14ac:dyDescent="0.3">
      <c r="A29" s="16" t="s">
        <v>21</v>
      </c>
      <c r="B29" s="7"/>
      <c r="C29" s="40"/>
      <c r="D29" s="12"/>
      <c r="E29" s="39"/>
    </row>
    <row r="30" spans="1:5" ht="22.5" customHeight="1" x14ac:dyDescent="0.3">
      <c r="A30" s="9" t="s">
        <v>22</v>
      </c>
      <c r="B30" s="7"/>
      <c r="C30" s="40"/>
      <c r="D30" s="12"/>
      <c r="E30" s="39"/>
    </row>
    <row r="31" spans="1:5" ht="22.5" customHeight="1" x14ac:dyDescent="0.2">
      <c r="A31" s="10" t="s">
        <v>26</v>
      </c>
      <c r="B31" s="11" t="s">
        <v>24</v>
      </c>
      <c r="C31" s="39">
        <v>1100000</v>
      </c>
      <c r="D31" s="12">
        <f>IF((($D$2&gt;=4)*($D$2&lt;=11))=1,3,0)</f>
        <v>3</v>
      </c>
      <c r="E31" s="39">
        <f t="shared" ref="E31:E44" si="1">C31*D31</f>
        <v>3300000</v>
      </c>
    </row>
    <row r="32" spans="1:5" ht="22.5" customHeight="1" x14ac:dyDescent="0.2">
      <c r="A32" s="10" t="s">
        <v>87</v>
      </c>
      <c r="B32" s="11" t="s">
        <v>24</v>
      </c>
      <c r="C32" s="39">
        <v>650000</v>
      </c>
      <c r="D32" s="12">
        <v>3</v>
      </c>
      <c r="E32" s="39">
        <f t="shared" si="1"/>
        <v>1950000</v>
      </c>
    </row>
    <row r="33" spans="1:5" ht="22.5" customHeight="1" x14ac:dyDescent="0.3">
      <c r="A33" s="9" t="s">
        <v>28</v>
      </c>
      <c r="B33" s="7"/>
      <c r="C33" s="40"/>
      <c r="D33" s="12"/>
      <c r="E33" s="39"/>
    </row>
    <row r="34" spans="1:5" ht="22.5" customHeight="1" x14ac:dyDescent="0.2">
      <c r="A34" s="13" t="s">
        <v>29</v>
      </c>
      <c r="B34" s="11" t="s">
        <v>5</v>
      </c>
      <c r="C34" s="39">
        <v>200000</v>
      </c>
      <c r="D34" s="12">
        <f>IF((($D$2&gt;=10)*($D$2&lt;=11))=1,2,1)</f>
        <v>2</v>
      </c>
      <c r="E34" s="39">
        <f t="shared" si="1"/>
        <v>400000</v>
      </c>
    </row>
    <row r="35" spans="1:5" ht="22.5" customHeight="1" x14ac:dyDescent="0.3">
      <c r="A35" s="9" t="s">
        <v>30</v>
      </c>
      <c r="B35" s="7"/>
      <c r="C35" s="40"/>
      <c r="D35" s="12"/>
      <c r="E35" s="39"/>
    </row>
    <row r="36" spans="1:5" ht="22.5" customHeight="1" x14ac:dyDescent="0.2">
      <c r="A36" s="13" t="s">
        <v>31</v>
      </c>
      <c r="B36" s="11" t="s">
        <v>32</v>
      </c>
      <c r="C36" s="39">
        <v>200000</v>
      </c>
      <c r="D36" s="12">
        <f>ROUNDUP($D$2/3,0)</f>
        <v>4</v>
      </c>
      <c r="E36" s="39">
        <f t="shared" si="1"/>
        <v>800000</v>
      </c>
    </row>
    <row r="37" spans="1:5" ht="22.5" customHeight="1" x14ac:dyDescent="0.3">
      <c r="A37" s="16" t="s">
        <v>33</v>
      </c>
      <c r="B37" s="7"/>
      <c r="C37" s="40"/>
      <c r="D37" s="12"/>
      <c r="E37" s="39"/>
    </row>
    <row r="38" spans="1:5" ht="22.5" customHeight="1" x14ac:dyDescent="0.3">
      <c r="A38" s="9" t="s">
        <v>34</v>
      </c>
      <c r="B38" s="7"/>
      <c r="C38" s="40"/>
      <c r="D38" s="12"/>
      <c r="E38" s="39"/>
    </row>
    <row r="39" spans="1:5" ht="22.5" customHeight="1" x14ac:dyDescent="0.2">
      <c r="A39" s="10" t="s">
        <v>65</v>
      </c>
      <c r="B39" s="11" t="s">
        <v>24</v>
      </c>
      <c r="C39" s="39">
        <v>250000</v>
      </c>
      <c r="D39" s="12">
        <f>IF((($D$2&gt;=4)*($D$2&lt;=11))=1,3,0)</f>
        <v>3</v>
      </c>
      <c r="E39" s="39">
        <f t="shared" si="1"/>
        <v>750000</v>
      </c>
    </row>
    <row r="40" spans="1:5" ht="22.5" customHeight="1" x14ac:dyDescent="0.3">
      <c r="A40" s="16" t="s">
        <v>36</v>
      </c>
      <c r="B40" s="7"/>
      <c r="C40" s="40"/>
      <c r="D40" s="12"/>
      <c r="E40" s="39"/>
    </row>
    <row r="41" spans="1:5" ht="22.5" customHeight="1" x14ac:dyDescent="0.3">
      <c r="A41" s="9" t="s">
        <v>37</v>
      </c>
      <c r="B41" s="7"/>
      <c r="C41" s="40"/>
      <c r="D41" s="12"/>
      <c r="E41" s="39"/>
    </row>
    <row r="42" spans="1:5" ht="22.5" customHeight="1" x14ac:dyDescent="0.2">
      <c r="A42" s="13" t="s">
        <v>38</v>
      </c>
      <c r="B42" s="11" t="s">
        <v>79</v>
      </c>
      <c r="C42" s="39">
        <v>50000</v>
      </c>
      <c r="D42" s="12">
        <f>ROUNDUP(D2*C2*3/24,0)</f>
        <v>6</v>
      </c>
      <c r="E42" s="39">
        <f t="shared" si="1"/>
        <v>300000</v>
      </c>
    </row>
    <row r="43" spans="1:5" ht="22.5" customHeight="1" x14ac:dyDescent="0.2">
      <c r="A43" s="13" t="s">
        <v>40</v>
      </c>
      <c r="B43" s="11" t="s">
        <v>39</v>
      </c>
      <c r="C43" s="39">
        <v>100000</v>
      </c>
      <c r="D43" s="12">
        <v>1</v>
      </c>
      <c r="E43" s="39">
        <f t="shared" si="1"/>
        <v>100000</v>
      </c>
    </row>
    <row r="44" spans="1:5" ht="22.5" customHeight="1" x14ac:dyDescent="0.2">
      <c r="A44" s="13" t="s">
        <v>41</v>
      </c>
      <c r="B44" s="11" t="s">
        <v>13</v>
      </c>
      <c r="C44" s="39">
        <v>60000</v>
      </c>
      <c r="D44" s="12">
        <f>D2</f>
        <v>11</v>
      </c>
      <c r="E44" s="39">
        <f t="shared" si="1"/>
        <v>660000</v>
      </c>
    </row>
    <row r="45" spans="1:5" s="1" customFormat="1" ht="30" customHeight="1" x14ac:dyDescent="0.2">
      <c r="A45" s="18" t="s">
        <v>80</v>
      </c>
      <c r="B45" s="17"/>
      <c r="C45" s="5"/>
      <c r="D45" s="12"/>
      <c r="E45" s="42">
        <f>SUM(E7:E44)</f>
        <v>24737500</v>
      </c>
    </row>
    <row r="46" spans="1:5" ht="36" customHeight="1" x14ac:dyDescent="0.2">
      <c r="A46" s="18" t="s">
        <v>84</v>
      </c>
      <c r="B46" s="8"/>
      <c r="C46" s="8"/>
      <c r="D46" s="8"/>
      <c r="E46" s="42">
        <f>E45/D2</f>
        <v>2248863.6363636362</v>
      </c>
    </row>
  </sheetData>
  <pageMargins left="0.25" right="0.25" top="0.75" bottom="0.75" header="0.3" footer="0.3"/>
  <pageSetup paperSize="9" scale="5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Calculation</vt:lpstr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2025-11-15T03:26:58Z</cp:lastPrinted>
  <dcterms:created xsi:type="dcterms:W3CDTF">2023-11-29T03:56:29Z</dcterms:created>
  <dcterms:modified xsi:type="dcterms:W3CDTF">2025-11-15T03:51:13Z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