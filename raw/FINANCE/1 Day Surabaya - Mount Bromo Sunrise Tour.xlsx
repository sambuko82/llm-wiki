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eef56aa7984708/New folder (2)/REBUILD/PACKAGE/JVTO/Expense/"/>
    </mc:Choice>
  </mc:AlternateContent>
  <xr:revisionPtr revIDLastSave="701" documentId="8_{49DE2DE6-D929-4DA0-BB4F-4F6EC9A2F1B6}" xr6:coauthVersionLast="47" xr6:coauthVersionMax="47" xr10:uidLastSave="{0C3A4E63-0B11-D442-AC20-0F5BCE480A57}"/>
  <bookViews>
    <workbookView xWindow="0" yWindow="620" windowWidth="33600" windowHeight="20380" activeTab="1" xr2:uid="{00000000-000D-0000-FFFF-FFFF00000000}"/>
  </bookViews>
  <sheets>
    <sheet name="Calculation" sheetId="2" r:id="rId1"/>
    <sheet name="WNI 1 pax" sheetId="11" r:id="rId2"/>
    <sheet name="WNI 2 pax" sheetId="12" r:id="rId3"/>
    <sheet name="WNI 3 pax" sheetId="13" r:id="rId4"/>
    <sheet name="WNI 4 pax" sheetId="14" r:id="rId5"/>
    <sheet name="WNI 5 pax" sheetId="15" r:id="rId6"/>
    <sheet name="Summary WNI" sheetId="5" r:id="rId7"/>
    <sheet name="Summary" sheetId="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1" l="1"/>
  <c r="H16" i="11"/>
  <c r="G16" i="11"/>
  <c r="B6" i="5"/>
  <c r="B5" i="5"/>
  <c r="B4" i="5"/>
  <c r="B3" i="5"/>
  <c r="B2" i="5"/>
  <c r="D28" i="15"/>
  <c r="D28" i="14"/>
  <c r="D28" i="13"/>
  <c r="D34" i="11"/>
  <c r="D34" i="14"/>
  <c r="D34" i="13"/>
  <c r="D34" i="12"/>
  <c r="D6" i="5"/>
  <c r="D5" i="5"/>
  <c r="D4" i="5"/>
  <c r="D3" i="5"/>
  <c r="D2" i="5"/>
  <c r="E2" i="5" s="1"/>
  <c r="B38" i="15"/>
  <c r="B39" i="15" s="1"/>
  <c r="B34" i="15"/>
  <c r="E29" i="15"/>
  <c r="E28" i="15"/>
  <c r="E27" i="15"/>
  <c r="E26" i="15"/>
  <c r="E25" i="15"/>
  <c r="E24" i="15"/>
  <c r="E23" i="15"/>
  <c r="E22" i="15"/>
  <c r="E21" i="15"/>
  <c r="E20" i="15"/>
  <c r="E19" i="15"/>
  <c r="E17" i="15"/>
  <c r="E16" i="15"/>
  <c r="E13" i="15"/>
  <c r="D12" i="15"/>
  <c r="E12" i="15" s="1"/>
  <c r="D10" i="15"/>
  <c r="E10" i="15" s="1"/>
  <c r="D9" i="15"/>
  <c r="E9" i="15" s="1"/>
  <c r="D8" i="15"/>
  <c r="E8" i="15" s="1"/>
  <c r="E6" i="15"/>
  <c r="B38" i="14"/>
  <c r="B39" i="14" s="1"/>
  <c r="B34" i="14"/>
  <c r="E29" i="14"/>
  <c r="E28" i="14"/>
  <c r="E27" i="14"/>
  <c r="E26" i="14"/>
  <c r="E25" i="14"/>
  <c r="E24" i="14"/>
  <c r="E23" i="14"/>
  <c r="E22" i="14"/>
  <c r="E21" i="14"/>
  <c r="E20" i="14"/>
  <c r="E19" i="14"/>
  <c r="E17" i="14"/>
  <c r="E16" i="14"/>
  <c r="E13" i="14"/>
  <c r="D12" i="14"/>
  <c r="E12" i="14" s="1"/>
  <c r="D10" i="14"/>
  <c r="E10" i="14" s="1"/>
  <c r="D9" i="14"/>
  <c r="E9" i="14" s="1"/>
  <c r="D8" i="14"/>
  <c r="E8" i="14" s="1"/>
  <c r="E6" i="14"/>
  <c r="B38" i="13"/>
  <c r="B39" i="13" s="1"/>
  <c r="B34" i="13"/>
  <c r="E29" i="13"/>
  <c r="E28" i="13"/>
  <c r="E27" i="13"/>
  <c r="E26" i="13"/>
  <c r="E25" i="13"/>
  <c r="E24" i="13"/>
  <c r="E23" i="13"/>
  <c r="E22" i="13"/>
  <c r="E21" i="13"/>
  <c r="E20" i="13"/>
  <c r="E19" i="13"/>
  <c r="E17" i="13"/>
  <c r="E16" i="13"/>
  <c r="E13" i="13"/>
  <c r="D12" i="13"/>
  <c r="E12" i="13" s="1"/>
  <c r="D10" i="13"/>
  <c r="E10" i="13" s="1"/>
  <c r="D9" i="13"/>
  <c r="E9" i="13" s="1"/>
  <c r="D8" i="13"/>
  <c r="E8" i="13" s="1"/>
  <c r="E6" i="13"/>
  <c r="B38" i="12"/>
  <c r="B39" i="12" s="1"/>
  <c r="B34" i="12"/>
  <c r="E29" i="12"/>
  <c r="E28" i="12"/>
  <c r="E27" i="12"/>
  <c r="E26" i="12"/>
  <c r="E25" i="12"/>
  <c r="E24" i="12"/>
  <c r="E23" i="12"/>
  <c r="E22" i="12"/>
  <c r="E21" i="12"/>
  <c r="E20" i="12"/>
  <c r="E19" i="12"/>
  <c r="E17" i="12"/>
  <c r="D16" i="12"/>
  <c r="E16" i="12" s="1"/>
  <c r="E13" i="12"/>
  <c r="D12" i="12"/>
  <c r="E12" i="12" s="1"/>
  <c r="D10" i="12"/>
  <c r="E10" i="12" s="1"/>
  <c r="D9" i="12"/>
  <c r="E9" i="12" s="1"/>
  <c r="D8" i="12"/>
  <c r="E8" i="12" s="1"/>
  <c r="E6" i="12"/>
  <c r="B38" i="11"/>
  <c r="B39" i="11" s="1"/>
  <c r="B34" i="11"/>
  <c r="E23" i="11"/>
  <c r="E24" i="11"/>
  <c r="E25" i="11"/>
  <c r="E13" i="11"/>
  <c r="D12" i="11"/>
  <c r="E12" i="11" s="1"/>
  <c r="E29" i="11"/>
  <c r="E28" i="11"/>
  <c r="E27" i="11"/>
  <c r="E26" i="11"/>
  <c r="E22" i="11"/>
  <c r="E21" i="11"/>
  <c r="E20" i="11"/>
  <c r="E19" i="11"/>
  <c r="E17" i="11"/>
  <c r="D16" i="11"/>
  <c r="E16" i="11" s="1"/>
  <c r="D10" i="11"/>
  <c r="E10" i="11" s="1"/>
  <c r="D9" i="11"/>
  <c r="E9" i="11" s="1"/>
  <c r="D8" i="11"/>
  <c r="E8" i="11" s="1"/>
  <c r="H6" i="5" l="1"/>
  <c r="I6" i="5" s="1"/>
  <c r="E6" i="5"/>
  <c r="E5" i="5"/>
  <c r="H5" i="5"/>
  <c r="I5" i="5" s="1"/>
  <c r="E4" i="5"/>
  <c r="H4" i="5"/>
  <c r="I4" i="5" s="1"/>
  <c r="E3" i="5"/>
  <c r="H3" i="5"/>
  <c r="I3" i="5" s="1"/>
  <c r="H2" i="5"/>
  <c r="I2" i="5" s="1"/>
  <c r="E30" i="15"/>
  <c r="B35" i="15" s="1"/>
  <c r="B36" i="15" s="1"/>
  <c r="E30" i="14"/>
  <c r="E31" i="14" s="1"/>
  <c r="C5" i="5" s="1"/>
  <c r="E30" i="13"/>
  <c r="E31" i="13" s="1"/>
  <c r="C4" i="5" s="1"/>
  <c r="E30" i="12"/>
  <c r="E30" i="11"/>
  <c r="F5" i="5" l="1"/>
  <c r="G5" i="5" s="1"/>
  <c r="F4" i="5"/>
  <c r="G4" i="5" s="1"/>
  <c r="E31" i="12"/>
  <c r="C3" i="5" s="1"/>
  <c r="F3" i="5" s="1"/>
  <c r="G3" i="5" s="1"/>
  <c r="B35" i="12"/>
  <c r="B36" i="12" s="1"/>
  <c r="E31" i="11"/>
  <c r="C2" i="5" s="1"/>
  <c r="F2" i="5" s="1"/>
  <c r="G2" i="5" s="1"/>
  <c r="B35" i="11"/>
  <c r="B36" i="11" s="1"/>
  <c r="E31" i="15"/>
  <c r="C6" i="5" s="1"/>
  <c r="F6" i="5" s="1"/>
  <c r="G6" i="5" s="1"/>
  <c r="B35" i="14"/>
  <c r="B36" i="14" s="1"/>
  <c r="B35" i="13"/>
  <c r="B36" i="13" s="1"/>
  <c r="D8" i="2"/>
  <c r="E8" i="2" s="1"/>
  <c r="D9" i="2"/>
  <c r="E9" i="2" s="1"/>
  <c r="D10" i="2"/>
  <c r="E10" i="2" s="1"/>
  <c r="G6" i="3"/>
  <c r="G7" i="3"/>
  <c r="G8" i="3"/>
  <c r="G9" i="3"/>
  <c r="G10" i="3"/>
  <c r="G11" i="3"/>
  <c r="G12" i="3"/>
  <c r="G13" i="3"/>
  <c r="G14" i="3"/>
  <c r="G15" i="3"/>
  <c r="G5" i="3"/>
  <c r="E19" i="2"/>
  <c r="D23" i="2"/>
  <c r="E23" i="2" s="1"/>
  <c r="D17" i="2"/>
  <c r="E17" i="2" s="1"/>
  <c r="E15" i="2"/>
  <c r="E24" i="2"/>
  <c r="D14" i="2"/>
  <c r="E14" i="2" s="1"/>
  <c r="E6" i="3"/>
  <c r="E7" i="3"/>
  <c r="E8" i="3"/>
  <c r="E9" i="3"/>
  <c r="E10" i="3"/>
  <c r="E11" i="3"/>
  <c r="E12" i="3"/>
  <c r="E13" i="3"/>
  <c r="E14" i="3"/>
  <c r="E15" i="3"/>
  <c r="E5" i="3"/>
  <c r="C6" i="3"/>
  <c r="C7" i="3"/>
  <c r="C8" i="3"/>
  <c r="C9" i="3"/>
  <c r="C10" i="3"/>
  <c r="C11" i="3"/>
  <c r="F11" i="3" s="1"/>
  <c r="C12" i="3"/>
  <c r="C13" i="3"/>
  <c r="C14" i="3"/>
  <c r="C15" i="3"/>
  <c r="C5" i="3"/>
  <c r="D29" i="2"/>
  <c r="E29" i="2" s="1"/>
  <c r="E28" i="2"/>
  <c r="D13" i="2"/>
  <c r="E13" i="2" s="1"/>
  <c r="E6" i="2"/>
  <c r="E16" i="2"/>
  <c r="E20" i="2"/>
  <c r="E21" i="2"/>
  <c r="E22" i="2"/>
  <c r="E25" i="2"/>
  <c r="E26" i="2"/>
  <c r="E27" i="2"/>
  <c r="F10" i="3" l="1"/>
  <c r="F9" i="3"/>
  <c r="F7" i="3"/>
  <c r="F6" i="3"/>
  <c r="F5" i="3"/>
  <c r="F14" i="3"/>
  <c r="F8" i="3"/>
  <c r="E30" i="2"/>
  <c r="E31" i="2" s="1"/>
  <c r="F12" i="3"/>
  <c r="F13" i="3"/>
  <c r="F15" i="3"/>
</calcChain>
</file>

<file path=xl/sharedStrings.xml><?xml version="1.0" encoding="utf-8"?>
<sst xmlns="http://schemas.openxmlformats.org/spreadsheetml/2006/main" count="355" uniqueCount="60">
  <si>
    <r>
      <rPr>
        <b/>
        <sz val="16"/>
        <rFont val="Calibri"/>
        <family val="1"/>
      </rPr>
      <t>Description</t>
    </r>
  </si>
  <si>
    <r>
      <rPr>
        <b/>
        <sz val="16"/>
        <rFont val="Calibri"/>
        <family val="1"/>
      </rPr>
      <t>Unit</t>
    </r>
  </si>
  <si>
    <r>
      <rPr>
        <b/>
        <sz val="16"/>
        <rFont val="Calibri"/>
        <family val="1"/>
      </rPr>
      <t>Rate</t>
    </r>
  </si>
  <si>
    <r>
      <rPr>
        <b/>
        <sz val="16"/>
        <rFont val="Calibri"/>
        <family val="1"/>
      </rPr>
      <t>A. Accommodation</t>
    </r>
  </si>
  <si>
    <r>
      <rPr>
        <sz val="16"/>
        <rFont val="Calibri"/>
        <family val="1"/>
      </rPr>
      <t>No</t>
    </r>
  </si>
  <si>
    <r>
      <rPr>
        <b/>
        <sz val="16"/>
        <rFont val="Calibri"/>
        <family val="1"/>
      </rPr>
      <t>B. Activities</t>
    </r>
  </si>
  <si>
    <r>
      <rPr>
        <sz val="16"/>
        <rFont val="Calibri"/>
        <family val="1"/>
      </rPr>
      <t>Pax</t>
    </r>
  </si>
  <si>
    <r>
      <rPr>
        <b/>
        <u/>
        <sz val="16"/>
        <rFont val="Calibri"/>
        <family val="1"/>
      </rPr>
      <t>B2. Bromo </t>
    </r>
  </si>
  <si>
    <r>
      <rPr>
        <sz val="16"/>
        <rFont val="Calibri"/>
        <family val="1"/>
      </rPr>
      <t>Bromo - Jeep</t>
    </r>
  </si>
  <si>
    <t>C. Transportation</t>
  </si>
  <si>
    <r>
      <rPr>
        <b/>
        <u/>
        <sz val="16"/>
        <rFont val="Calibri"/>
        <family val="1"/>
      </rPr>
      <t>C1. Vehicle</t>
    </r>
  </si>
  <si>
    <r>
      <rPr>
        <sz val="16"/>
        <rFont val="Calibri"/>
        <family val="1"/>
      </rPr>
      <t>Avanza</t>
    </r>
  </si>
  <si>
    <r>
      <rPr>
        <sz val="16"/>
        <rFont val="Calibri"/>
        <family val="1"/>
      </rPr>
      <t>Day x Qty</t>
    </r>
  </si>
  <si>
    <r>
      <rPr>
        <sz val="16"/>
        <rFont val="Calibri"/>
        <family val="1"/>
      </rPr>
      <t>Innova</t>
    </r>
  </si>
  <si>
    <t>Toyota Hiace</t>
  </si>
  <si>
    <r>
      <rPr>
        <sz val="16"/>
        <rFont val="Calibri"/>
        <family val="1"/>
      </rPr>
      <t>Toyota Hiace Premio (4-6pax)</t>
    </r>
  </si>
  <si>
    <r>
      <rPr>
        <b/>
        <u/>
        <sz val="16"/>
        <rFont val="Calibri"/>
        <family val="1"/>
      </rPr>
      <t>C2. Parking and toll</t>
    </r>
  </si>
  <si>
    <r>
      <rPr>
        <sz val="16"/>
        <rFont val="Calibri"/>
        <family val="1"/>
      </rPr>
      <t>Probolingo</t>
    </r>
  </si>
  <si>
    <t>D. Crews</t>
  </si>
  <si>
    <r>
      <rPr>
        <b/>
        <u/>
        <sz val="16"/>
        <rFont val="Calibri"/>
        <family val="1"/>
      </rPr>
      <t>D1. In house</t>
    </r>
  </si>
  <si>
    <r>
      <rPr>
        <sz val="16"/>
        <rFont val="Calibri"/>
        <family val="1"/>
      </rPr>
      <t>Driver cum guide</t>
    </r>
  </si>
  <si>
    <t>E. Others</t>
  </si>
  <si>
    <r>
      <rPr>
        <b/>
        <u/>
        <sz val="16"/>
        <rFont val="Calibri"/>
        <family val="1"/>
      </rPr>
      <t>E1. Miscelleneous</t>
    </r>
  </si>
  <si>
    <r>
      <rPr>
        <sz val="16"/>
        <rFont val="Calibri"/>
        <family val="1"/>
      </rPr>
      <t>Mineral Water</t>
    </r>
  </si>
  <si>
    <r>
      <rPr>
        <sz val="16"/>
        <rFont val="Calibri"/>
        <family val="1"/>
      </rPr>
      <t>T Shirt</t>
    </r>
  </si>
  <si>
    <t>Bromo - Ticket</t>
  </si>
  <si>
    <t>Probolinggo + Malang</t>
  </si>
  <si>
    <t>Escort Guide</t>
  </si>
  <si>
    <t>Driver Only</t>
  </si>
  <si>
    <t>Package Name</t>
  </si>
  <si>
    <t>ID</t>
  </si>
  <si>
    <t>Duration (Days)</t>
  </si>
  <si>
    <t>No of Pax</t>
  </si>
  <si>
    <t>Qty</t>
  </si>
  <si>
    <t>Total</t>
  </si>
  <si>
    <t>Karton</t>
  </si>
  <si>
    <t>Total Expense</t>
  </si>
  <si>
    <t>Pax</t>
  </si>
  <si>
    <t>Margin</t>
  </si>
  <si>
    <t>Presentase Margin</t>
  </si>
  <si>
    <t>1</t>
  </si>
  <si>
    <t>Expense / Pax</t>
  </si>
  <si>
    <t>Harga / Pax</t>
  </si>
  <si>
    <t>Total Harga</t>
  </si>
  <si>
    <t>Extra Luggage</t>
  </si>
  <si>
    <t>East Java to Bali Adventure: 3D2N Bromo &amp; Ijen Volcano Journey</t>
  </si>
  <si>
    <t>Breakfast Kecombrang</t>
  </si>
  <si>
    <r>
      <rPr>
        <sz val="16"/>
        <rFont val="Calibri"/>
        <family val="1"/>
      </rPr>
      <t>Avanza</t>
    </r>
    <r>
      <rPr>
        <sz val="16"/>
        <rFont val="Calibri"/>
        <family val="2"/>
      </rPr>
      <t xml:space="preserve"> - Include Tol</t>
    </r>
  </si>
  <si>
    <r>
      <rPr>
        <sz val="16"/>
        <rFont val="Calibri"/>
        <family val="1"/>
      </rPr>
      <t>Innova</t>
    </r>
    <r>
      <rPr>
        <sz val="16"/>
        <rFont val="Calibri"/>
        <family val="2"/>
      </rPr>
      <t xml:space="preserve"> - Include Tol</t>
    </r>
  </si>
  <si>
    <t>B3. Madakaripura</t>
  </si>
  <si>
    <t>Madakaripura - Ticket</t>
  </si>
  <si>
    <t>Madakaripura - Guide</t>
  </si>
  <si>
    <t>Harga Jual / Pax</t>
  </si>
  <si>
    <t>Profit</t>
  </si>
  <si>
    <t>Persentase Profit</t>
  </si>
  <si>
    <t>Klook Komisi / pax (25%)</t>
  </si>
  <si>
    <t>Harga Jual Klook / pax</t>
  </si>
  <si>
    <t>Komisi Klook /pax</t>
  </si>
  <si>
    <t>Harga Retail Klook / pax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</si>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</sst>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26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6"/>
      <name val="Calibri"/>
      <family val="1"/>
    </font>
    <font>
      <sz val="16"/>
      <color rgb="FF000000"/>
      <name val="Times New Roman"/>
      <family val="1"/>
    </font>
    <font>
      <b/>
      <u/>
      <sz val="16"/>
      <name val="Calibri"/>
      <family val="1"/>
    </font>
    <font>
      <sz val="16"/>
      <name val="Calibri"/>
      <family val="2"/>
    </font>
    <font>
      <sz val="16"/>
      <name val="Calibri"/>
      <family val="1"/>
    </font>
    <font>
      <sz val="16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Times New Roman"/>
      <family val="1"/>
    </font>
    <font>
      <sz val="11"/>
      <color rgb="FF000000"/>
      <name val="Aptos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9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5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164" fontId="16" fillId="3" borderId="2" xfId="1" applyNumberFormat="1" applyFont="1" applyFill="1" applyBorder="1" applyAlignment="1">
      <alignment horizontal="center"/>
    </xf>
    <xf numFmtId="164" fontId="16" fillId="3" borderId="2" xfId="1" applyNumberFormat="1" applyFont="1" applyFill="1" applyBorder="1"/>
    <xf numFmtId="0" fontId="16" fillId="4" borderId="2" xfId="0" applyFont="1" applyFill="1" applyBorder="1" applyAlignment="1">
      <alignment horizontal="center"/>
    </xf>
    <xf numFmtId="164" fontId="16" fillId="4" borderId="2" xfId="1" applyNumberFormat="1" applyFont="1" applyFill="1" applyBorder="1" applyAlignment="1">
      <alignment horizontal="center"/>
    </xf>
    <xf numFmtId="164" fontId="16" fillId="4" borderId="2" xfId="1" applyNumberFormat="1" applyFont="1" applyFill="1" applyBorder="1"/>
    <xf numFmtId="0" fontId="16" fillId="5" borderId="2" xfId="0" applyFont="1" applyFill="1" applyBorder="1" applyAlignment="1">
      <alignment horizontal="center"/>
    </xf>
    <xf numFmtId="164" fontId="16" fillId="5" borderId="2" xfId="1" applyNumberFormat="1" applyFont="1" applyFill="1" applyBorder="1"/>
    <xf numFmtId="164" fontId="16" fillId="5" borderId="2" xfId="1" applyNumberFormat="1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164" fontId="10" fillId="7" borderId="2" xfId="1" applyNumberFormat="1" applyFont="1" applyFill="1" applyBorder="1"/>
    <xf numFmtId="164" fontId="10" fillId="7" borderId="2" xfId="1" applyNumberFormat="1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164" fontId="16" fillId="8" borderId="2" xfId="1" applyNumberFormat="1" applyFont="1" applyFill="1" applyBorder="1"/>
    <xf numFmtId="164" fontId="16" fillId="8" borderId="2" xfId="1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164" fontId="10" fillId="6" borderId="2" xfId="0" applyNumberFormat="1" applyFont="1" applyFill="1" applyBorder="1"/>
    <xf numFmtId="164" fontId="10" fillId="6" borderId="2" xfId="1" applyNumberFormat="1" applyFont="1" applyFill="1" applyBorder="1"/>
    <xf numFmtId="164" fontId="10" fillId="6" borderId="2" xfId="1" applyNumberFormat="1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1" xfId="0" applyFont="1" applyBorder="1" applyAlignment="1">
      <alignment vertical="center"/>
    </xf>
    <xf numFmtId="165" fontId="7" fillId="0" borderId="2" xfId="1" applyNumberFormat="1" applyFont="1" applyBorder="1" applyAlignment="1">
      <alignment horizontal="center" vertical="top" shrinkToFit="1"/>
    </xf>
    <xf numFmtId="165" fontId="3" fillId="0" borderId="2" xfId="1" applyNumberFormat="1" applyFont="1" applyBorder="1" applyAlignment="1">
      <alignment horizontal="left" wrapText="1"/>
    </xf>
    <xf numFmtId="165" fontId="3" fillId="0" borderId="2" xfId="1" applyNumberFormat="1" applyFont="1" applyBorder="1" applyAlignment="1">
      <alignment horizontal="center" wrapText="1"/>
    </xf>
    <xf numFmtId="165" fontId="14" fillId="0" borderId="2" xfId="1" applyNumberFormat="1" applyFont="1" applyBorder="1" applyAlignment="1">
      <alignment horizontal="center" vertical="top" shrinkToFit="1"/>
    </xf>
    <xf numFmtId="0" fontId="13" fillId="4" borderId="1" xfId="0" applyFont="1" applyFill="1" applyBorder="1" applyAlignment="1">
      <alignment vertical="center"/>
    </xf>
    <xf numFmtId="165" fontId="0" fillId="0" borderId="0" xfId="1" applyNumberFormat="1" applyFont="1" applyAlignment="1">
      <alignment horizontal="left" vertical="top"/>
    </xf>
    <xf numFmtId="165" fontId="21" fillId="0" borderId="0" xfId="1" applyNumberFormat="1" applyFont="1" applyAlignment="1">
      <alignment horizontal="left" vertical="top"/>
    </xf>
    <xf numFmtId="0" fontId="4" fillId="0" borderId="2" xfId="0" applyFont="1" applyBorder="1" applyAlignment="1">
      <alignment horizontal="left" vertical="top" wrapText="1" indent="3"/>
    </xf>
    <xf numFmtId="0" fontId="22" fillId="0" borderId="0" xfId="0" applyFont="1" applyAlignment="1">
      <alignment horizontal="left" vertical="top"/>
    </xf>
    <xf numFmtId="165" fontId="22" fillId="0" borderId="0" xfId="1" applyNumberFormat="1" applyFont="1" applyAlignment="1">
      <alignment horizontal="left" vertical="top"/>
    </xf>
    <xf numFmtId="0" fontId="16" fillId="9" borderId="2" xfId="0" applyFont="1" applyFill="1" applyBorder="1" applyAlignment="1">
      <alignment horizontal="center"/>
    </xf>
    <xf numFmtId="164" fontId="24" fillId="9" borderId="2" xfId="1" applyNumberFormat="1" applyFont="1" applyFill="1" applyBorder="1" applyAlignment="1">
      <alignment horizontal="center"/>
    </xf>
    <xf numFmtId="164" fontId="24" fillId="9" borderId="2" xfId="1" applyNumberFormat="1" applyFont="1" applyFill="1" applyBorder="1"/>
    <xf numFmtId="164" fontId="20" fillId="0" borderId="2" xfId="0" applyNumberFormat="1" applyFont="1" applyBorder="1" applyAlignment="1">
      <alignment horizontal="left" vertical="top"/>
    </xf>
    <xf numFmtId="0" fontId="23" fillId="4" borderId="2" xfId="0" applyFont="1" applyFill="1" applyBorder="1" applyAlignment="1">
      <alignment horizontal="center"/>
    </xf>
    <xf numFmtId="0" fontId="25" fillId="4" borderId="2" xfId="0" applyFont="1" applyFill="1" applyBorder="1" applyAlignment="1">
      <alignment horizontal="left" vertical="top"/>
    </xf>
    <xf numFmtId="165" fontId="22" fillId="0" borderId="0" xfId="0" applyNumberFormat="1" applyFont="1" applyAlignment="1">
      <alignment horizontal="left" vertical="top"/>
    </xf>
    <xf numFmtId="165" fontId="0" fillId="0" borderId="0" xfId="0" applyNumberForma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CF1-8A91-4E63-9BBC-994A19DA5E24}">
  <sheetPr>
    <pageSetUpPr fitToPage="1"/>
  </sheetPr>
  <dimension ref="A1:E31"/>
  <sheetViews>
    <sheetView zoomScale="70" zoomScaleNormal="70" workbookViewId="0">
      <selection activeCell="A20" sqref="A20"/>
    </sheetView>
  </sheetViews>
  <sheetFormatPr baseColWidth="10" defaultColWidth="9" defaultRowHeight="13" x14ac:dyDescent="0.15"/>
  <cols>
    <col min="1" max="1" width="88.19921875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6" max="8" width="10.796875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5" ht="25.5" customHeight="1" x14ac:dyDescent="0.15">
      <c r="A1" s="2" t="s">
        <v>29</v>
      </c>
      <c r="B1" s="2" t="s">
        <v>30</v>
      </c>
      <c r="C1" s="2" t="s">
        <v>31</v>
      </c>
      <c r="D1" s="2" t="s">
        <v>32</v>
      </c>
    </row>
    <row r="2" spans="1:5" ht="27.75" customHeight="1" x14ac:dyDescent="0.15">
      <c r="A2" s="3" t="s">
        <v>45</v>
      </c>
      <c r="B2" s="3">
        <v>28</v>
      </c>
      <c r="C2" s="3">
        <v>3</v>
      </c>
      <c r="D2" s="45">
        <v>15</v>
      </c>
    </row>
    <row r="3" spans="1:5" ht="27.75" customHeight="1" x14ac:dyDescent="0.15">
      <c r="A3" s="4"/>
      <c r="B3" s="4"/>
      <c r="C3" s="4"/>
    </row>
    <row r="4" spans="1:5" ht="35.25" customHeight="1" x14ac:dyDescent="0.15">
      <c r="A4" s="5" t="s">
        <v>0</v>
      </c>
      <c r="B4" s="5" t="s">
        <v>1</v>
      </c>
      <c r="C4" s="5" t="s">
        <v>2</v>
      </c>
      <c r="D4" s="5" t="s">
        <v>33</v>
      </c>
      <c r="E4" s="5" t="s">
        <v>34</v>
      </c>
    </row>
    <row r="5" spans="1:5" ht="22.5" customHeight="1" x14ac:dyDescent="0.2">
      <c r="A5" s="6" t="s">
        <v>3</v>
      </c>
      <c r="B5" s="7"/>
      <c r="C5" s="7"/>
      <c r="D5" s="8"/>
      <c r="E5" s="8"/>
    </row>
    <row r="6" spans="1:5" ht="22.5" customHeight="1" x14ac:dyDescent="0.2">
      <c r="A6" s="6" t="s">
        <v>5</v>
      </c>
      <c r="B6" s="7"/>
      <c r="C6" s="42"/>
      <c r="D6" s="12"/>
      <c r="E6" s="41">
        <f t="shared" ref="E6:E9" si="0">C6*D6</f>
        <v>0</v>
      </c>
    </row>
    <row r="7" spans="1:5" ht="22.5" customHeight="1" x14ac:dyDescent="0.2">
      <c r="A7" s="9" t="s">
        <v>7</v>
      </c>
      <c r="B7" s="7"/>
      <c r="C7" s="43"/>
      <c r="D7" s="12"/>
      <c r="E7" s="41"/>
    </row>
    <row r="8" spans="1:5" ht="22.5" customHeight="1" x14ac:dyDescent="0.15">
      <c r="A8" s="10" t="s">
        <v>25</v>
      </c>
      <c r="B8" s="11" t="s">
        <v>6</v>
      </c>
      <c r="C8" s="41">
        <v>150000</v>
      </c>
      <c r="D8" s="12">
        <f>$D$2</f>
        <v>15</v>
      </c>
      <c r="E8" s="41">
        <f t="shared" si="0"/>
        <v>2250000</v>
      </c>
    </row>
    <row r="9" spans="1:5" ht="22.5" customHeight="1" x14ac:dyDescent="0.15">
      <c r="A9" s="13" t="s">
        <v>8</v>
      </c>
      <c r="B9" s="11" t="s">
        <v>6</v>
      </c>
      <c r="C9" s="41">
        <v>500000</v>
      </c>
      <c r="D9" s="12">
        <f>ROUNDUP(D2/5,0)</f>
        <v>3</v>
      </c>
      <c r="E9" s="41">
        <f t="shared" si="0"/>
        <v>1500000</v>
      </c>
    </row>
    <row r="10" spans="1:5" ht="22.5" customHeight="1" x14ac:dyDescent="0.15">
      <c r="A10" s="10" t="s">
        <v>46</v>
      </c>
      <c r="B10" s="11" t="s">
        <v>6</v>
      </c>
      <c r="C10" s="41">
        <v>50000</v>
      </c>
      <c r="D10" s="12">
        <f>$D$2</f>
        <v>15</v>
      </c>
      <c r="E10" s="41">
        <f t="shared" ref="E10" si="1">C10*D10</f>
        <v>750000</v>
      </c>
    </row>
    <row r="11" spans="1:5" ht="22.5" customHeight="1" x14ac:dyDescent="0.2">
      <c r="A11" s="14" t="s">
        <v>9</v>
      </c>
      <c r="B11" s="7"/>
      <c r="C11" s="42"/>
      <c r="D11" s="12"/>
      <c r="E11" s="41"/>
    </row>
    <row r="12" spans="1:5" ht="22.5" customHeight="1" x14ac:dyDescent="0.2">
      <c r="A12" s="9" t="s">
        <v>10</v>
      </c>
      <c r="B12" s="7"/>
      <c r="C12" s="42"/>
      <c r="D12" s="12"/>
      <c r="E12" s="41"/>
    </row>
    <row r="13" spans="1:5" ht="22.5" customHeight="1" x14ac:dyDescent="0.15">
      <c r="A13" s="13" t="s">
        <v>11</v>
      </c>
      <c r="B13" s="11" t="s">
        <v>12</v>
      </c>
      <c r="C13" s="41">
        <v>480000</v>
      </c>
      <c r="D13" s="12">
        <f>IF($D$2=1,$C$2, IF($D$2=2,$C$2,0))</f>
        <v>0</v>
      </c>
      <c r="E13" s="41">
        <f t="shared" ref="E13:E29" si="2">C13*D13</f>
        <v>0</v>
      </c>
    </row>
    <row r="14" spans="1:5" ht="22.5" customHeight="1" x14ac:dyDescent="0.15">
      <c r="A14" s="13" t="s">
        <v>13</v>
      </c>
      <c r="B14" s="11" t="s">
        <v>12</v>
      </c>
      <c r="C14" s="41">
        <v>550000</v>
      </c>
      <c r="D14" s="12">
        <f>IF($D$2=3,$C$2, 0)</f>
        <v>0</v>
      </c>
      <c r="E14" s="41">
        <f t="shared" si="2"/>
        <v>0</v>
      </c>
    </row>
    <row r="15" spans="1:5" ht="22.5" customHeight="1" x14ac:dyDescent="0.15">
      <c r="A15" s="10" t="s">
        <v>14</v>
      </c>
      <c r="B15" s="11" t="s">
        <v>12</v>
      </c>
      <c r="C15" s="41">
        <v>1100000</v>
      </c>
      <c r="D15" s="12">
        <v>2</v>
      </c>
      <c r="E15" s="41">
        <f t="shared" si="2"/>
        <v>2200000</v>
      </c>
    </row>
    <row r="16" spans="1:5" ht="22.5" customHeight="1" x14ac:dyDescent="0.15">
      <c r="A16" s="13" t="s">
        <v>15</v>
      </c>
      <c r="B16" s="11" t="s">
        <v>12</v>
      </c>
      <c r="C16" s="41">
        <v>1300000</v>
      </c>
      <c r="D16" s="12"/>
      <c r="E16" s="41">
        <f t="shared" si="2"/>
        <v>0</v>
      </c>
    </row>
    <row r="17" spans="1:5" ht="22.5" customHeight="1" x14ac:dyDescent="0.15">
      <c r="A17" s="10" t="s">
        <v>44</v>
      </c>
      <c r="B17" s="11" t="s">
        <v>12</v>
      </c>
      <c r="C17" s="41">
        <v>2040000</v>
      </c>
      <c r="D17" s="12">
        <f>IF((($D$2&gt;=10)*($D$2&lt;=11))=1,1,0)</f>
        <v>0</v>
      </c>
      <c r="E17" s="41">
        <f t="shared" ref="E17" si="3">C17*D17</f>
        <v>0</v>
      </c>
    </row>
    <row r="18" spans="1:5" ht="22.5" customHeight="1" x14ac:dyDescent="0.2">
      <c r="A18" s="9" t="s">
        <v>16</v>
      </c>
      <c r="B18" s="7"/>
      <c r="C18" s="42"/>
      <c r="D18" s="12"/>
      <c r="E18" s="41"/>
    </row>
    <row r="19" spans="1:5" ht="22.5" customHeight="1" x14ac:dyDescent="0.15">
      <c r="A19" s="13" t="s">
        <v>17</v>
      </c>
      <c r="B19" s="11" t="s">
        <v>4</v>
      </c>
      <c r="C19" s="41">
        <v>200000</v>
      </c>
      <c r="D19" s="12">
        <v>2</v>
      </c>
      <c r="E19" s="41">
        <f t="shared" si="2"/>
        <v>400000</v>
      </c>
    </row>
    <row r="20" spans="1:5" ht="22.5" customHeight="1" x14ac:dyDescent="0.15">
      <c r="A20" s="10" t="s">
        <v>26</v>
      </c>
      <c r="B20" s="11" t="s">
        <v>4</v>
      </c>
      <c r="C20" s="41">
        <v>300000</v>
      </c>
      <c r="D20" s="12"/>
      <c r="E20" s="41">
        <f t="shared" si="2"/>
        <v>0</v>
      </c>
    </row>
    <row r="21" spans="1:5" ht="22.5" customHeight="1" x14ac:dyDescent="0.2">
      <c r="A21" s="14" t="s">
        <v>18</v>
      </c>
      <c r="B21" s="7"/>
      <c r="C21" s="42"/>
      <c r="D21" s="12"/>
      <c r="E21" s="41">
        <f t="shared" si="2"/>
        <v>0</v>
      </c>
    </row>
    <row r="22" spans="1:5" ht="22.5" customHeight="1" x14ac:dyDescent="0.2">
      <c r="A22" s="9" t="s">
        <v>19</v>
      </c>
      <c r="B22" s="7"/>
      <c r="C22" s="42"/>
      <c r="D22" s="12"/>
      <c r="E22" s="41">
        <f t="shared" si="2"/>
        <v>0</v>
      </c>
    </row>
    <row r="23" spans="1:5" ht="22.5" customHeight="1" x14ac:dyDescent="0.15">
      <c r="A23" s="13" t="s">
        <v>20</v>
      </c>
      <c r="B23" s="11" t="s">
        <v>12</v>
      </c>
      <c r="C23" s="41">
        <v>250000</v>
      </c>
      <c r="D23" s="12">
        <f>IF((($D$2&gt;=1)*($D$2&lt;=3))=1,$C$2,0)</f>
        <v>0</v>
      </c>
      <c r="E23" s="41">
        <f t="shared" si="2"/>
        <v>0</v>
      </c>
    </row>
    <row r="24" spans="1:5" ht="22.5" customHeight="1" x14ac:dyDescent="0.15">
      <c r="A24" s="10" t="s">
        <v>27</v>
      </c>
      <c r="B24" s="11" t="s">
        <v>12</v>
      </c>
      <c r="C24" s="41">
        <v>250000</v>
      </c>
      <c r="D24" s="12">
        <v>1</v>
      </c>
      <c r="E24" s="41">
        <f t="shared" si="2"/>
        <v>250000</v>
      </c>
    </row>
    <row r="25" spans="1:5" ht="22.5" customHeight="1" x14ac:dyDescent="0.15">
      <c r="A25" s="10" t="s">
        <v>28</v>
      </c>
      <c r="B25" s="11" t="s">
        <v>12</v>
      </c>
      <c r="C25" s="41">
        <v>200000</v>
      </c>
      <c r="D25" s="12"/>
      <c r="E25" s="41">
        <f t="shared" si="2"/>
        <v>0</v>
      </c>
    </row>
    <row r="26" spans="1:5" ht="22.5" customHeight="1" x14ac:dyDescent="0.2">
      <c r="A26" s="14" t="s">
        <v>21</v>
      </c>
      <c r="B26" s="7"/>
      <c r="C26" s="42"/>
      <c r="D26" s="12"/>
      <c r="E26" s="41">
        <f t="shared" si="2"/>
        <v>0</v>
      </c>
    </row>
    <row r="27" spans="1:5" ht="22.5" customHeight="1" x14ac:dyDescent="0.2">
      <c r="A27" s="9" t="s">
        <v>22</v>
      </c>
      <c r="B27" s="7"/>
      <c r="C27" s="42"/>
      <c r="D27" s="12"/>
      <c r="E27" s="41">
        <f t="shared" si="2"/>
        <v>0</v>
      </c>
    </row>
    <row r="28" spans="1:5" ht="22.5" customHeight="1" x14ac:dyDescent="0.15">
      <c r="A28" s="13" t="s">
        <v>23</v>
      </c>
      <c r="B28" s="11" t="s">
        <v>35</v>
      </c>
      <c r="C28" s="41">
        <v>50000</v>
      </c>
      <c r="D28" s="12">
        <v>4</v>
      </c>
      <c r="E28" s="41">
        <f t="shared" si="2"/>
        <v>200000</v>
      </c>
    </row>
    <row r="29" spans="1:5" ht="22.5" customHeight="1" x14ac:dyDescent="0.15">
      <c r="A29" s="13" t="s">
        <v>24</v>
      </c>
      <c r="B29" s="11" t="s">
        <v>6</v>
      </c>
      <c r="C29" s="41">
        <v>60000</v>
      </c>
      <c r="D29" s="12">
        <f>D2</f>
        <v>15</v>
      </c>
      <c r="E29" s="41">
        <f t="shared" si="2"/>
        <v>900000</v>
      </c>
    </row>
    <row r="30" spans="1:5" s="1" customFormat="1" ht="30" customHeight="1" x14ac:dyDescent="0.15">
      <c r="A30" s="16" t="s">
        <v>36</v>
      </c>
      <c r="B30" s="15"/>
      <c r="C30" s="5"/>
      <c r="D30" s="12"/>
      <c r="E30" s="44">
        <f>SUM(E6:E29)</f>
        <v>8450000</v>
      </c>
    </row>
    <row r="31" spans="1:5" ht="36" customHeight="1" x14ac:dyDescent="0.15">
      <c r="A31" s="16" t="s">
        <v>41</v>
      </c>
      <c r="B31" s="8"/>
      <c r="C31" s="8"/>
      <c r="D31" s="8"/>
      <c r="E31" s="44">
        <f>E30/D2</f>
        <v>563333.33333333337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699E-CA51-4A56-849D-3E3E2D034F10}">
  <sheetPr>
    <pageSetUpPr fitToPage="1"/>
  </sheetPr>
  <dimension ref="A1:I41"/>
  <sheetViews>
    <sheetView tabSelected="1" zoomScale="112" zoomScaleNormal="70" workbookViewId="0">
      <selection activeCell="H15" sqref="H15"/>
    </sheetView>
  </sheetViews>
  <sheetFormatPr baseColWidth="10" defaultColWidth="9" defaultRowHeight="13" x14ac:dyDescent="0.15"/>
  <cols>
    <col min="1" max="1" width="53.19921875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6" max="6" width="21.3984375" customWidth="1"/>
    <col min="7" max="7" width="20.19921875" customWidth="1"/>
    <col min="8" max="8" width="23.19921875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9" ht="25.5" customHeight="1" x14ac:dyDescent="0.15">
      <c r="A1" s="2" t="s">
        <v>29</v>
      </c>
      <c r="B1" s="2" t="s">
        <v>30</v>
      </c>
      <c r="C1" s="2" t="s">
        <v>31</v>
      </c>
      <c r="D1" s="2" t="s">
        <v>32</v>
      </c>
    </row>
    <row r="2" spans="1:9" ht="27.75" customHeight="1" x14ac:dyDescent="0.15">
      <c r="A2" s="3"/>
      <c r="B2" s="3"/>
      <c r="C2" s="3">
        <v>1</v>
      </c>
      <c r="D2" s="45">
        <v>1</v>
      </c>
    </row>
    <row r="3" spans="1:9" ht="27.75" customHeight="1" x14ac:dyDescent="0.15">
      <c r="A3" s="4"/>
      <c r="B3" s="4"/>
      <c r="C3" s="4"/>
    </row>
    <row r="4" spans="1:9" ht="35.25" customHeight="1" x14ac:dyDescent="0.15">
      <c r="A4" s="5" t="s">
        <v>0</v>
      </c>
      <c r="B4" s="5" t="s">
        <v>1</v>
      </c>
      <c r="C4" s="5" t="s">
        <v>2</v>
      </c>
      <c r="D4" s="5" t="s">
        <v>33</v>
      </c>
      <c r="E4" s="5" t="s">
        <v>34</v>
      </c>
    </row>
    <row r="5" spans="1:9" ht="22.5" customHeight="1" x14ac:dyDescent="0.2">
      <c r="A5" s="6" t="s">
        <v>3</v>
      </c>
      <c r="B5" s="7"/>
      <c r="C5" s="7"/>
      <c r="D5" s="8"/>
      <c r="E5" s="8"/>
    </row>
    <row r="6" spans="1:9" ht="22.5" customHeight="1" x14ac:dyDescent="0.2">
      <c r="A6" s="6" t="s">
        <v>5</v>
      </c>
      <c r="B6" s="7"/>
      <c r="C6" s="42"/>
      <c r="D6" s="12"/>
      <c r="E6" s="41"/>
    </row>
    <row r="7" spans="1:9" ht="22.5" customHeight="1" x14ac:dyDescent="0.2">
      <c r="A7" s="9" t="s">
        <v>7</v>
      </c>
      <c r="B7" s="7"/>
      <c r="C7" s="43"/>
      <c r="D7" s="12"/>
      <c r="E7" s="41"/>
    </row>
    <row r="8" spans="1:9" ht="22.5" customHeight="1" x14ac:dyDescent="0.15">
      <c r="A8" s="10" t="s">
        <v>25</v>
      </c>
      <c r="B8" s="11" t="s">
        <v>6</v>
      </c>
      <c r="C8" s="41">
        <v>75000</v>
      </c>
      <c r="D8" s="12">
        <f>$D$2</f>
        <v>1</v>
      </c>
      <c r="E8" s="41">
        <f t="shared" ref="E6:E10" si="0">C8*D8</f>
        <v>75000</v>
      </c>
    </row>
    <row r="9" spans="1:9" ht="22.5" customHeight="1" x14ac:dyDescent="0.15">
      <c r="A9" s="13" t="s">
        <v>8</v>
      </c>
      <c r="B9" s="11" t="s">
        <v>6</v>
      </c>
      <c r="C9" s="41">
        <v>450000</v>
      </c>
      <c r="D9" s="12">
        <f>ROUNDUP(D2/5,0)</f>
        <v>1</v>
      </c>
      <c r="E9" s="41">
        <f t="shared" si="0"/>
        <v>450000</v>
      </c>
    </row>
    <row r="10" spans="1:9" ht="22.5" customHeight="1" x14ac:dyDescent="0.15">
      <c r="A10" s="10" t="s">
        <v>46</v>
      </c>
      <c r="B10" s="11" t="s">
        <v>6</v>
      </c>
      <c r="C10" s="41"/>
      <c r="D10" s="12">
        <f>$D$2</f>
        <v>1</v>
      </c>
      <c r="E10" s="41">
        <f t="shared" si="0"/>
        <v>0</v>
      </c>
    </row>
    <row r="11" spans="1:9" ht="22.5" customHeight="1" x14ac:dyDescent="0.2">
      <c r="A11" s="48" t="s">
        <v>49</v>
      </c>
      <c r="B11" s="7"/>
      <c r="C11" s="43"/>
      <c r="D11" s="12"/>
      <c r="E11" s="41"/>
    </row>
    <row r="12" spans="1:9" ht="22.5" customHeight="1" x14ac:dyDescent="0.15">
      <c r="A12" s="10" t="s">
        <v>50</v>
      </c>
      <c r="B12" s="11" t="s">
        <v>6</v>
      </c>
      <c r="C12" s="41">
        <v>60000</v>
      </c>
      <c r="D12" s="12">
        <f>$D$2</f>
        <v>1</v>
      </c>
      <c r="E12" s="41">
        <f t="shared" ref="E12:E13" si="1">C12*D12</f>
        <v>60000</v>
      </c>
    </row>
    <row r="13" spans="1:9" ht="22.5" customHeight="1" x14ac:dyDescent="0.15">
      <c r="A13" s="10" t="s">
        <v>51</v>
      </c>
      <c r="B13" s="11" t="s">
        <v>6</v>
      </c>
      <c r="C13" s="41">
        <v>100000</v>
      </c>
      <c r="D13" s="12">
        <v>1</v>
      </c>
      <c r="E13" s="41">
        <f t="shared" si="1"/>
        <v>100000</v>
      </c>
    </row>
    <row r="14" spans="1:9" ht="22.5" customHeight="1" x14ac:dyDescent="0.2">
      <c r="A14" s="14" t="s">
        <v>9</v>
      </c>
      <c r="B14" s="7"/>
      <c r="C14" s="42"/>
      <c r="D14" s="12"/>
      <c r="E14" s="41"/>
    </row>
    <row r="15" spans="1:9" ht="22.5" customHeight="1" x14ac:dyDescent="0.2">
      <c r="A15" s="9" t="s">
        <v>10</v>
      </c>
      <c r="B15" s="7"/>
      <c r="C15" s="42"/>
      <c r="D15" s="12"/>
      <c r="E15" s="41"/>
      <c r="F15">
        <v>250000</v>
      </c>
      <c r="G15">
        <v>200000</v>
      </c>
      <c r="H15">
        <v>150000</v>
      </c>
      <c r="I15">
        <v>250000</v>
      </c>
    </row>
    <row r="16" spans="1:9" ht="22.5" customHeight="1" x14ac:dyDescent="0.15">
      <c r="A16" s="10" t="s">
        <v>47</v>
      </c>
      <c r="B16" s="11" t="s">
        <v>12</v>
      </c>
      <c r="C16" s="41">
        <v>850000</v>
      </c>
      <c r="D16" s="12">
        <f>IF($D$2=1,$C$2, IF($D$2=2,$C$2,0))</f>
        <v>1</v>
      </c>
      <c r="E16" s="41">
        <f t="shared" ref="E16:E29" si="2">C16*D16</f>
        <v>850000</v>
      </c>
      <c r="F16" s="47">
        <v>850000</v>
      </c>
      <c r="G16" s="58">
        <f>F16-250000</f>
        <v>600000</v>
      </c>
      <c r="H16" s="58">
        <f>G16-200000</f>
        <v>400000</v>
      </c>
      <c r="I16" s="58">
        <f>H16-150000</f>
        <v>250000</v>
      </c>
    </row>
    <row r="17" spans="1:9" ht="21" customHeight="1" x14ac:dyDescent="0.15">
      <c r="A17" s="10" t="s">
        <v>48</v>
      </c>
      <c r="B17" s="11" t="s">
        <v>12</v>
      </c>
      <c r="C17" s="41">
        <v>1200000</v>
      </c>
      <c r="D17" s="12"/>
      <c r="E17" s="41">
        <f t="shared" si="2"/>
        <v>0</v>
      </c>
      <c r="F17" s="47">
        <v>350000</v>
      </c>
      <c r="G17">
        <v>200000</v>
      </c>
      <c r="H17">
        <v>200000</v>
      </c>
      <c r="I17">
        <v>250000</v>
      </c>
    </row>
    <row r="18" spans="1:9" ht="22.5" hidden="1" customHeight="1" x14ac:dyDescent="0.2">
      <c r="A18" s="9" t="s">
        <v>16</v>
      </c>
      <c r="B18" s="7"/>
      <c r="C18" s="42"/>
      <c r="D18" s="12"/>
      <c r="E18" s="41"/>
    </row>
    <row r="19" spans="1:9" ht="22.5" hidden="1" customHeight="1" x14ac:dyDescent="0.15">
      <c r="A19" s="13" t="s">
        <v>17</v>
      </c>
      <c r="B19" s="11" t="s">
        <v>4</v>
      </c>
      <c r="C19" s="41"/>
      <c r="D19" s="12">
        <v>2</v>
      </c>
      <c r="E19" s="41">
        <f t="shared" si="2"/>
        <v>0</v>
      </c>
    </row>
    <row r="20" spans="1:9" ht="22.5" hidden="1" customHeight="1" x14ac:dyDescent="0.15">
      <c r="A20" s="10" t="s">
        <v>26</v>
      </c>
      <c r="B20" s="11" t="s">
        <v>4</v>
      </c>
      <c r="C20" s="41"/>
      <c r="D20" s="12"/>
      <c r="E20" s="41">
        <f t="shared" si="2"/>
        <v>0</v>
      </c>
    </row>
    <row r="21" spans="1:9" ht="22.5" hidden="1" customHeight="1" x14ac:dyDescent="0.2">
      <c r="A21" s="14" t="s">
        <v>18</v>
      </c>
      <c r="B21" s="7"/>
      <c r="C21" s="42"/>
      <c r="D21" s="12"/>
      <c r="E21" s="41">
        <f t="shared" si="2"/>
        <v>0</v>
      </c>
    </row>
    <row r="22" spans="1:9" ht="22.5" hidden="1" customHeight="1" x14ac:dyDescent="0.2">
      <c r="A22" s="9" t="s">
        <v>19</v>
      </c>
      <c r="B22" s="7"/>
      <c r="C22" s="42"/>
      <c r="D22" s="12"/>
      <c r="E22" s="41">
        <f t="shared" si="2"/>
        <v>0</v>
      </c>
    </row>
    <row r="23" spans="1:9" ht="22.5" hidden="1" customHeight="1" x14ac:dyDescent="0.15">
      <c r="A23" s="13" t="s">
        <v>20</v>
      </c>
      <c r="B23" s="11" t="s">
        <v>12</v>
      </c>
      <c r="C23" s="41">
        <v>250000</v>
      </c>
      <c r="D23" s="12"/>
      <c r="E23" s="41">
        <f t="shared" si="2"/>
        <v>0</v>
      </c>
    </row>
    <row r="24" spans="1:9" ht="22.5" hidden="1" customHeight="1" x14ac:dyDescent="0.15">
      <c r="A24" s="10" t="s">
        <v>27</v>
      </c>
      <c r="B24" s="11" t="s">
        <v>12</v>
      </c>
      <c r="C24" s="41">
        <v>250000</v>
      </c>
      <c r="D24" s="12"/>
      <c r="E24" s="41">
        <f t="shared" si="2"/>
        <v>0</v>
      </c>
    </row>
    <row r="25" spans="1:9" ht="22" hidden="1" customHeight="1" x14ac:dyDescent="0.15">
      <c r="A25" s="10" t="s">
        <v>28</v>
      </c>
      <c r="B25" s="11" t="s">
        <v>12</v>
      </c>
      <c r="C25" s="41">
        <v>200000</v>
      </c>
      <c r="D25" s="12"/>
      <c r="E25" s="41">
        <f t="shared" si="2"/>
        <v>0</v>
      </c>
    </row>
    <row r="26" spans="1:9" ht="22.5" customHeight="1" x14ac:dyDescent="0.2">
      <c r="A26" s="14" t="s">
        <v>21</v>
      </c>
      <c r="B26" s="7"/>
      <c r="C26" s="42"/>
      <c r="D26" s="12"/>
      <c r="E26" s="41">
        <f t="shared" si="2"/>
        <v>0</v>
      </c>
    </row>
    <row r="27" spans="1:9" ht="22.5" customHeight="1" x14ac:dyDescent="0.2">
      <c r="A27" s="9" t="s">
        <v>22</v>
      </c>
      <c r="B27" s="7"/>
      <c r="C27" s="42"/>
      <c r="D27" s="12"/>
      <c r="E27" s="41">
        <f t="shared" si="2"/>
        <v>0</v>
      </c>
    </row>
    <row r="28" spans="1:9" ht="22.5" customHeight="1" x14ac:dyDescent="0.15">
      <c r="A28" s="13" t="s">
        <v>23</v>
      </c>
      <c r="B28" s="11" t="s">
        <v>35</v>
      </c>
      <c r="C28" s="41">
        <v>10000</v>
      </c>
      <c r="D28" s="12">
        <v>1</v>
      </c>
      <c r="E28" s="41">
        <f t="shared" si="2"/>
        <v>10000</v>
      </c>
    </row>
    <row r="29" spans="1:9" ht="22" hidden="1" customHeight="1" x14ac:dyDescent="0.15">
      <c r="A29" s="13" t="s">
        <v>24</v>
      </c>
      <c r="B29" s="11" t="s">
        <v>6</v>
      </c>
      <c r="C29" s="41">
        <v>60000</v>
      </c>
      <c r="D29" s="12"/>
      <c r="E29" s="41">
        <f t="shared" si="2"/>
        <v>0</v>
      </c>
    </row>
    <row r="30" spans="1:9" s="1" customFormat="1" ht="30" customHeight="1" x14ac:dyDescent="0.15">
      <c r="A30" s="16" t="s">
        <v>36</v>
      </c>
      <c r="B30" s="15"/>
      <c r="C30" s="5"/>
      <c r="D30" s="12"/>
      <c r="E30" s="44">
        <f>SUM(E6:E29)</f>
        <v>1545000</v>
      </c>
    </row>
    <row r="31" spans="1:9" ht="36" customHeight="1" x14ac:dyDescent="0.15">
      <c r="A31" s="16" t="s">
        <v>41</v>
      </c>
      <c r="B31" s="8"/>
      <c r="C31" s="8"/>
      <c r="D31" s="8"/>
      <c r="E31" s="44">
        <f>E30/D2</f>
        <v>1545000</v>
      </c>
    </row>
    <row r="33" spans="1:5" ht="21" x14ac:dyDescent="0.15">
      <c r="A33" s="49" t="s">
        <v>52</v>
      </c>
      <c r="B33" s="50">
        <v>1900000</v>
      </c>
      <c r="C33" s="49"/>
      <c r="D33" s="50">
        <v>4000000</v>
      </c>
      <c r="E33" s="49"/>
    </row>
    <row r="34" spans="1:5" ht="21" x14ac:dyDescent="0.15">
      <c r="A34" s="49" t="s">
        <v>43</v>
      </c>
      <c r="B34" s="50">
        <f>B33*D2</f>
        <v>1900000</v>
      </c>
      <c r="C34" s="49"/>
      <c r="D34" s="50">
        <f>100*D33/125</f>
        <v>3200000</v>
      </c>
      <c r="E34" s="50"/>
    </row>
    <row r="35" spans="1:5" ht="21" x14ac:dyDescent="0.15">
      <c r="A35" s="49" t="s">
        <v>53</v>
      </c>
      <c r="B35" s="50">
        <f>B34-E30</f>
        <v>355000</v>
      </c>
      <c r="C35" s="49"/>
      <c r="D35" s="49"/>
      <c r="E35" s="57"/>
    </row>
    <row r="36" spans="1:5" ht="21" x14ac:dyDescent="0.15">
      <c r="A36" s="49" t="s">
        <v>54</v>
      </c>
      <c r="B36" s="50">
        <f>B35/B34*100</f>
        <v>18.684210526315788</v>
      </c>
      <c r="C36" s="49"/>
      <c r="D36" s="49"/>
      <c r="E36" s="49"/>
    </row>
    <row r="37" spans="1:5" ht="21" x14ac:dyDescent="0.15">
      <c r="A37" s="49"/>
      <c r="B37" s="50"/>
      <c r="C37" s="49"/>
      <c r="D37" s="49"/>
      <c r="E37" s="49"/>
    </row>
    <row r="38" spans="1:5" ht="21" x14ac:dyDescent="0.15">
      <c r="A38" s="49" t="s">
        <v>55</v>
      </c>
      <c r="B38" s="50">
        <f>B33*25%</f>
        <v>475000</v>
      </c>
      <c r="C38" s="49"/>
      <c r="D38" s="49"/>
      <c r="E38" s="49"/>
    </row>
    <row r="39" spans="1:5" ht="21" x14ac:dyDescent="0.15">
      <c r="A39" s="49" t="s">
        <v>56</v>
      </c>
      <c r="B39" s="50">
        <f>B33+B38</f>
        <v>2375000</v>
      </c>
      <c r="C39" s="49"/>
      <c r="D39" s="49"/>
      <c r="E39" s="49"/>
    </row>
    <row r="40" spans="1:5" ht="21" x14ac:dyDescent="0.15">
      <c r="A40" s="49"/>
      <c r="B40" s="49"/>
      <c r="C40" s="49"/>
      <c r="D40" s="49"/>
      <c r="E40" s="49"/>
    </row>
    <row r="41" spans="1:5" ht="21" x14ac:dyDescent="0.15">
      <c r="A41" s="49"/>
      <c r="B41" s="49"/>
      <c r="C41" s="49"/>
      <c r="D41" s="49"/>
      <c r="E41" s="49"/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DEE4-4497-428C-9223-A1783BE3516B}">
  <sheetPr>
    <pageSetUpPr fitToPage="1"/>
  </sheetPr>
  <dimension ref="A1:F41"/>
  <sheetViews>
    <sheetView topLeftCell="A2" zoomScale="109" zoomScaleNormal="70" workbookViewId="0">
      <selection activeCell="F16" sqref="F16"/>
    </sheetView>
  </sheetViews>
  <sheetFormatPr baseColWidth="10" defaultColWidth="9" defaultRowHeight="13" x14ac:dyDescent="0.15"/>
  <cols>
    <col min="1" max="1" width="60.19921875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6" max="6" width="21.3984375" customWidth="1"/>
    <col min="7" max="8" width="10.796875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6" ht="25.5" customHeight="1" x14ac:dyDescent="0.15">
      <c r="A1" s="2" t="s">
        <v>29</v>
      </c>
      <c r="B1" s="2" t="s">
        <v>30</v>
      </c>
      <c r="C1" s="2" t="s">
        <v>31</v>
      </c>
      <c r="D1" s="2" t="s">
        <v>32</v>
      </c>
    </row>
    <row r="2" spans="1:6" ht="27.75" customHeight="1" x14ac:dyDescent="0.15">
      <c r="A2" s="3"/>
      <c r="B2" s="3"/>
      <c r="C2" s="3">
        <v>1</v>
      </c>
      <c r="D2" s="45">
        <v>2</v>
      </c>
    </row>
    <row r="3" spans="1:6" ht="27.75" customHeight="1" x14ac:dyDescent="0.15">
      <c r="A3" s="4"/>
      <c r="B3" s="4"/>
      <c r="C3" s="4"/>
    </row>
    <row r="4" spans="1:6" ht="35.25" customHeight="1" x14ac:dyDescent="0.15">
      <c r="A4" s="5" t="s">
        <v>0</v>
      </c>
      <c r="B4" s="5" t="s">
        <v>1</v>
      </c>
      <c r="C4" s="5" t="s">
        <v>2</v>
      </c>
      <c r="D4" s="5" t="s">
        <v>33</v>
      </c>
      <c r="E4" s="5" t="s">
        <v>34</v>
      </c>
    </row>
    <row r="5" spans="1:6" ht="22.5" customHeight="1" x14ac:dyDescent="0.2">
      <c r="A5" s="6" t="s">
        <v>3</v>
      </c>
      <c r="B5" s="7"/>
      <c r="C5" s="7"/>
      <c r="D5" s="8"/>
      <c r="E5" s="8"/>
    </row>
    <row r="6" spans="1:6" ht="22.5" customHeight="1" x14ac:dyDescent="0.2">
      <c r="A6" s="6" t="s">
        <v>5</v>
      </c>
      <c r="B6" s="7"/>
      <c r="C6" s="42"/>
      <c r="D6" s="12"/>
      <c r="E6" s="41">
        <f t="shared" ref="E6:E10" si="0">C6*D6</f>
        <v>0</v>
      </c>
    </row>
    <row r="7" spans="1:6" ht="22.5" customHeight="1" x14ac:dyDescent="0.2">
      <c r="A7" s="9" t="s">
        <v>7</v>
      </c>
      <c r="B7" s="7"/>
      <c r="C7" s="43"/>
      <c r="D7" s="12"/>
      <c r="E7" s="41"/>
    </row>
    <row r="8" spans="1:6" ht="22.5" customHeight="1" x14ac:dyDescent="0.15">
      <c r="A8" s="10" t="s">
        <v>25</v>
      </c>
      <c r="B8" s="11" t="s">
        <v>6</v>
      </c>
      <c r="C8" s="41">
        <v>75000</v>
      </c>
      <c r="D8" s="12">
        <f>$D$2</f>
        <v>2</v>
      </c>
      <c r="E8" s="41">
        <f t="shared" si="0"/>
        <v>150000</v>
      </c>
    </row>
    <row r="9" spans="1:6" ht="22.5" customHeight="1" x14ac:dyDescent="0.15">
      <c r="A9" s="13" t="s">
        <v>8</v>
      </c>
      <c r="B9" s="11" t="s">
        <v>6</v>
      </c>
      <c r="C9" s="41">
        <v>450000</v>
      </c>
      <c r="D9" s="12">
        <f>ROUNDUP(D2/5,0)</f>
        <v>1</v>
      </c>
      <c r="E9" s="41">
        <f t="shared" si="0"/>
        <v>450000</v>
      </c>
    </row>
    <row r="10" spans="1:6" ht="22.5" customHeight="1" x14ac:dyDescent="0.15">
      <c r="A10" s="10" t="s">
        <v>46</v>
      </c>
      <c r="B10" s="11" t="s">
        <v>6</v>
      </c>
      <c r="C10" s="41"/>
      <c r="D10" s="12">
        <f>$D$2</f>
        <v>2</v>
      </c>
      <c r="E10" s="41">
        <f t="shared" si="0"/>
        <v>0</v>
      </c>
    </row>
    <row r="11" spans="1:6" ht="22.5" customHeight="1" x14ac:dyDescent="0.2">
      <c r="A11" s="48" t="s">
        <v>49</v>
      </c>
      <c r="B11" s="7"/>
      <c r="C11" s="43"/>
      <c r="D11" s="12"/>
      <c r="E11" s="41"/>
    </row>
    <row r="12" spans="1:6" ht="22.5" customHeight="1" x14ac:dyDescent="0.15">
      <c r="A12" s="10" t="s">
        <v>50</v>
      </c>
      <c r="B12" s="11" t="s">
        <v>6</v>
      </c>
      <c r="C12" s="41">
        <v>60000</v>
      </c>
      <c r="D12" s="12">
        <f>$D$2</f>
        <v>2</v>
      </c>
      <c r="E12" s="41">
        <f t="shared" ref="E12:E13" si="1">C12*D12</f>
        <v>120000</v>
      </c>
    </row>
    <row r="13" spans="1:6" ht="22.5" customHeight="1" x14ac:dyDescent="0.15">
      <c r="A13" s="10" t="s">
        <v>51</v>
      </c>
      <c r="B13" s="11" t="s">
        <v>6</v>
      </c>
      <c r="C13" s="41">
        <v>100000</v>
      </c>
      <c r="D13" s="12">
        <v>1</v>
      </c>
      <c r="E13" s="41">
        <f t="shared" si="1"/>
        <v>100000</v>
      </c>
    </row>
    <row r="14" spans="1:6" ht="22.5" customHeight="1" x14ac:dyDescent="0.2">
      <c r="A14" s="14" t="s">
        <v>9</v>
      </c>
      <c r="B14" s="7"/>
      <c r="C14" s="42"/>
      <c r="D14" s="12"/>
      <c r="E14" s="41"/>
    </row>
    <row r="15" spans="1:6" ht="22.5" customHeight="1" x14ac:dyDescent="0.2">
      <c r="A15" s="9" t="s">
        <v>10</v>
      </c>
      <c r="B15" s="7"/>
      <c r="C15" s="42"/>
      <c r="D15" s="12"/>
      <c r="E15" s="41"/>
    </row>
    <row r="16" spans="1:6" ht="22.5" customHeight="1" x14ac:dyDescent="0.15">
      <c r="A16" s="10" t="s">
        <v>47</v>
      </c>
      <c r="B16" s="11" t="s">
        <v>12</v>
      </c>
      <c r="C16" s="41">
        <v>850000</v>
      </c>
      <c r="D16" s="12">
        <f>IF($D$2=1,$C$2, IF($D$2=2,$C$2,0))</f>
        <v>1</v>
      </c>
      <c r="E16" s="41">
        <f t="shared" ref="E16:E29" si="2">C16*D16</f>
        <v>850000</v>
      </c>
      <c r="F16" s="47"/>
    </row>
    <row r="17" spans="1:6" ht="22.5" customHeight="1" x14ac:dyDescent="0.15">
      <c r="A17" s="10" t="s">
        <v>48</v>
      </c>
      <c r="B17" s="11" t="s">
        <v>12</v>
      </c>
      <c r="C17" s="41">
        <v>1200000</v>
      </c>
      <c r="D17" s="12"/>
      <c r="E17" s="41">
        <f t="shared" si="2"/>
        <v>0</v>
      </c>
      <c r="F17" s="47"/>
    </row>
    <row r="18" spans="1:6" ht="22.5" hidden="1" customHeight="1" x14ac:dyDescent="0.2">
      <c r="A18" s="9" t="s">
        <v>16</v>
      </c>
      <c r="B18" s="7"/>
      <c r="C18" s="42"/>
      <c r="D18" s="12"/>
      <c r="E18" s="41"/>
    </row>
    <row r="19" spans="1:6" ht="22.5" hidden="1" customHeight="1" x14ac:dyDescent="0.15">
      <c r="A19" s="13" t="s">
        <v>17</v>
      </c>
      <c r="B19" s="11" t="s">
        <v>4</v>
      </c>
      <c r="C19" s="41"/>
      <c r="D19" s="12">
        <v>2</v>
      </c>
      <c r="E19" s="41">
        <f t="shared" si="2"/>
        <v>0</v>
      </c>
    </row>
    <row r="20" spans="1:6" ht="22.5" hidden="1" customHeight="1" x14ac:dyDescent="0.15">
      <c r="A20" s="10" t="s">
        <v>26</v>
      </c>
      <c r="B20" s="11" t="s">
        <v>4</v>
      </c>
      <c r="C20" s="41"/>
      <c r="D20" s="12"/>
      <c r="E20" s="41">
        <f t="shared" si="2"/>
        <v>0</v>
      </c>
    </row>
    <row r="21" spans="1:6" ht="22.5" hidden="1" customHeight="1" x14ac:dyDescent="0.2">
      <c r="A21" s="14" t="s">
        <v>18</v>
      </c>
      <c r="B21" s="7"/>
      <c r="C21" s="42"/>
      <c r="D21" s="12"/>
      <c r="E21" s="41">
        <f t="shared" si="2"/>
        <v>0</v>
      </c>
    </row>
    <row r="22" spans="1:6" ht="22.5" hidden="1" customHeight="1" x14ac:dyDescent="0.2">
      <c r="A22" s="9" t="s">
        <v>19</v>
      </c>
      <c r="B22" s="7"/>
      <c r="C22" s="42"/>
      <c r="D22" s="12"/>
      <c r="E22" s="41">
        <f t="shared" si="2"/>
        <v>0</v>
      </c>
    </row>
    <row r="23" spans="1:6" ht="22.5" hidden="1" customHeight="1" x14ac:dyDescent="0.15">
      <c r="A23" s="13" t="s">
        <v>20</v>
      </c>
      <c r="B23" s="11" t="s">
        <v>12</v>
      </c>
      <c r="C23" s="41">
        <v>250000</v>
      </c>
      <c r="D23" s="12"/>
      <c r="E23" s="41">
        <f t="shared" si="2"/>
        <v>0</v>
      </c>
    </row>
    <row r="24" spans="1:6" ht="22.5" hidden="1" customHeight="1" x14ac:dyDescent="0.15">
      <c r="A24" s="10" t="s">
        <v>27</v>
      </c>
      <c r="B24" s="11" t="s">
        <v>12</v>
      </c>
      <c r="C24" s="41">
        <v>250000</v>
      </c>
      <c r="D24" s="12"/>
      <c r="E24" s="41">
        <f t="shared" si="2"/>
        <v>0</v>
      </c>
    </row>
    <row r="25" spans="1:6" ht="22.5" hidden="1" customHeight="1" x14ac:dyDescent="0.15">
      <c r="A25" s="10" t="s">
        <v>28</v>
      </c>
      <c r="B25" s="11" t="s">
        <v>12</v>
      </c>
      <c r="C25" s="41">
        <v>200000</v>
      </c>
      <c r="D25" s="12"/>
      <c r="E25" s="41">
        <f t="shared" si="2"/>
        <v>0</v>
      </c>
    </row>
    <row r="26" spans="1:6" ht="22.5" customHeight="1" x14ac:dyDescent="0.2">
      <c r="A26" s="14" t="s">
        <v>21</v>
      </c>
      <c r="B26" s="7"/>
      <c r="C26" s="42"/>
      <c r="D26" s="12"/>
      <c r="E26" s="41">
        <f t="shared" si="2"/>
        <v>0</v>
      </c>
    </row>
    <row r="27" spans="1:6" ht="22.5" customHeight="1" x14ac:dyDescent="0.2">
      <c r="A27" s="9" t="s">
        <v>22</v>
      </c>
      <c r="B27" s="7"/>
      <c r="C27" s="42"/>
      <c r="D27" s="12"/>
      <c r="E27" s="41">
        <f t="shared" si="2"/>
        <v>0</v>
      </c>
    </row>
    <row r="28" spans="1:6" ht="22.5" customHeight="1" x14ac:dyDescent="0.15">
      <c r="A28" s="13" t="s">
        <v>23</v>
      </c>
      <c r="B28" s="11" t="s">
        <v>35</v>
      </c>
      <c r="C28" s="41">
        <v>20000</v>
      </c>
      <c r="D28" s="12">
        <v>1</v>
      </c>
      <c r="E28" s="41">
        <f t="shared" si="2"/>
        <v>20000</v>
      </c>
    </row>
    <row r="29" spans="1:6" ht="22.5" hidden="1" customHeight="1" x14ac:dyDescent="0.15">
      <c r="A29" s="13" t="s">
        <v>24</v>
      </c>
      <c r="B29" s="11" t="s">
        <v>6</v>
      </c>
      <c r="C29" s="41">
        <v>60000</v>
      </c>
      <c r="D29" s="12"/>
      <c r="E29" s="41">
        <f t="shared" si="2"/>
        <v>0</v>
      </c>
    </row>
    <row r="30" spans="1:6" s="1" customFormat="1" ht="30" customHeight="1" x14ac:dyDescent="0.15">
      <c r="A30" s="16" t="s">
        <v>36</v>
      </c>
      <c r="B30" s="15"/>
      <c r="C30" s="5"/>
      <c r="D30" s="12"/>
      <c r="E30" s="44">
        <f>SUM(E6:E29)</f>
        <v>1690000</v>
      </c>
    </row>
    <row r="31" spans="1:6" ht="36" customHeight="1" x14ac:dyDescent="0.15">
      <c r="A31" s="16" t="s">
        <v>41</v>
      </c>
      <c r="B31" s="8"/>
      <c r="C31" s="8"/>
      <c r="D31" s="8"/>
      <c r="E31" s="44">
        <f>E30/D2</f>
        <v>845000</v>
      </c>
    </row>
    <row r="33" spans="1:5" ht="21" x14ac:dyDescent="0.15">
      <c r="A33" s="49" t="s">
        <v>52</v>
      </c>
      <c r="B33" s="50">
        <v>1100000</v>
      </c>
      <c r="C33" s="49"/>
      <c r="D33" s="50">
        <v>2400000</v>
      </c>
      <c r="E33" s="49"/>
    </row>
    <row r="34" spans="1:5" ht="21" x14ac:dyDescent="0.15">
      <c r="A34" s="49" t="s">
        <v>43</v>
      </c>
      <c r="B34" s="50">
        <f>B33*D2</f>
        <v>2200000</v>
      </c>
      <c r="C34" s="49"/>
      <c r="D34" s="50">
        <f>100*D33/125</f>
        <v>1920000</v>
      </c>
      <c r="E34" s="49"/>
    </row>
    <row r="35" spans="1:5" ht="21" x14ac:dyDescent="0.15">
      <c r="A35" s="49" t="s">
        <v>53</v>
      </c>
      <c r="B35" s="50">
        <f>B34-E30</f>
        <v>510000</v>
      </c>
      <c r="C35" s="49"/>
      <c r="D35" s="49"/>
      <c r="E35" s="49"/>
    </row>
    <row r="36" spans="1:5" ht="21" x14ac:dyDescent="0.15">
      <c r="A36" s="49" t="s">
        <v>54</v>
      </c>
      <c r="B36" s="50">
        <f>B35/B34*100</f>
        <v>23.18181818181818</v>
      </c>
      <c r="C36" s="49"/>
      <c r="D36" s="49"/>
      <c r="E36" s="49"/>
    </row>
    <row r="37" spans="1:5" ht="21" x14ac:dyDescent="0.15">
      <c r="A37" s="49"/>
      <c r="B37" s="50"/>
      <c r="C37" s="49"/>
      <c r="D37" s="49"/>
      <c r="E37" s="49"/>
    </row>
    <row r="38" spans="1:5" ht="21" x14ac:dyDescent="0.15">
      <c r="A38" s="49" t="s">
        <v>55</v>
      </c>
      <c r="B38" s="50">
        <f>B33*25%</f>
        <v>275000</v>
      </c>
      <c r="C38" s="49"/>
      <c r="D38" s="49"/>
      <c r="E38" s="49"/>
    </row>
    <row r="39" spans="1:5" ht="21" x14ac:dyDescent="0.15">
      <c r="A39" s="49" t="s">
        <v>56</v>
      </c>
      <c r="B39" s="50">
        <f>B33+B38</f>
        <v>1375000</v>
      </c>
      <c r="C39" s="49"/>
      <c r="D39" s="49"/>
      <c r="E39" s="49"/>
    </row>
    <row r="40" spans="1:5" ht="21" x14ac:dyDescent="0.15">
      <c r="A40" s="49"/>
      <c r="B40" s="49"/>
      <c r="C40" s="49"/>
      <c r="D40" s="49"/>
      <c r="E40" s="49"/>
    </row>
    <row r="41" spans="1:5" ht="21" x14ac:dyDescent="0.15">
      <c r="A41" s="49"/>
      <c r="B41" s="49"/>
      <c r="C41" s="49"/>
      <c r="D41" s="49"/>
      <c r="E41" s="49"/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0AB7-FB57-4235-AA7C-513C558521A4}">
  <sheetPr>
    <pageSetUpPr fitToPage="1"/>
  </sheetPr>
  <dimension ref="A1:F41"/>
  <sheetViews>
    <sheetView zoomScale="88" zoomScaleNormal="70" workbookViewId="0">
      <selection activeCell="B34" sqref="B34"/>
    </sheetView>
  </sheetViews>
  <sheetFormatPr baseColWidth="10" defaultColWidth="9" defaultRowHeight="13" x14ac:dyDescent="0.15"/>
  <cols>
    <col min="1" max="1" width="61.796875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6" max="6" width="21.3984375" customWidth="1"/>
    <col min="7" max="8" width="10.796875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6" ht="25.5" customHeight="1" x14ac:dyDescent="0.15">
      <c r="A1" s="2" t="s">
        <v>29</v>
      </c>
      <c r="B1" s="2" t="s">
        <v>30</v>
      </c>
      <c r="C1" s="2" t="s">
        <v>31</v>
      </c>
      <c r="D1" s="2" t="s">
        <v>32</v>
      </c>
    </row>
    <row r="2" spans="1:6" ht="27.75" customHeight="1" x14ac:dyDescent="0.15">
      <c r="A2" s="3"/>
      <c r="B2" s="3"/>
      <c r="C2" s="3">
        <v>1</v>
      </c>
      <c r="D2" s="45">
        <v>3</v>
      </c>
    </row>
    <row r="3" spans="1:6" ht="27.75" customHeight="1" x14ac:dyDescent="0.15">
      <c r="A3" s="4"/>
      <c r="B3" s="4"/>
      <c r="C3" s="4"/>
    </row>
    <row r="4" spans="1:6" ht="35.25" customHeight="1" x14ac:dyDescent="0.15">
      <c r="A4" s="5" t="s">
        <v>0</v>
      </c>
      <c r="B4" s="5" t="s">
        <v>1</v>
      </c>
      <c r="C4" s="5" t="s">
        <v>2</v>
      </c>
      <c r="D4" s="5" t="s">
        <v>33</v>
      </c>
      <c r="E4" s="5" t="s">
        <v>34</v>
      </c>
    </row>
    <row r="5" spans="1:6" ht="22.5" customHeight="1" x14ac:dyDescent="0.2">
      <c r="A5" s="6" t="s">
        <v>3</v>
      </c>
      <c r="B5" s="7"/>
      <c r="C5" s="7"/>
      <c r="D5" s="8"/>
      <c r="E5" s="8"/>
    </row>
    <row r="6" spans="1:6" ht="22.5" customHeight="1" x14ac:dyDescent="0.2">
      <c r="A6" s="6" t="s">
        <v>5</v>
      </c>
      <c r="B6" s="7"/>
      <c r="C6" s="42"/>
      <c r="D6" s="12"/>
      <c r="E6" s="41">
        <f t="shared" ref="E6:E10" si="0">C6*D6</f>
        <v>0</v>
      </c>
    </row>
    <row r="7" spans="1:6" ht="22.5" customHeight="1" x14ac:dyDescent="0.2">
      <c r="A7" s="9" t="s">
        <v>7</v>
      </c>
      <c r="B7" s="7"/>
      <c r="C7" s="43"/>
      <c r="D7" s="12"/>
      <c r="E7" s="41"/>
    </row>
    <row r="8" spans="1:6" ht="22.5" customHeight="1" x14ac:dyDescent="0.15">
      <c r="A8" s="10" t="s">
        <v>25</v>
      </c>
      <c r="B8" s="11" t="s">
        <v>6</v>
      </c>
      <c r="C8" s="41">
        <v>75000</v>
      </c>
      <c r="D8" s="12">
        <f>$D$2</f>
        <v>3</v>
      </c>
      <c r="E8" s="41">
        <f t="shared" si="0"/>
        <v>225000</v>
      </c>
    </row>
    <row r="9" spans="1:6" ht="22.5" customHeight="1" x14ac:dyDescent="0.15">
      <c r="A9" s="13" t="s">
        <v>8</v>
      </c>
      <c r="B9" s="11" t="s">
        <v>6</v>
      </c>
      <c r="C9" s="41">
        <v>450000</v>
      </c>
      <c r="D9" s="12">
        <f>ROUNDUP(D2/5,0)</f>
        <v>1</v>
      </c>
      <c r="E9" s="41">
        <f t="shared" si="0"/>
        <v>450000</v>
      </c>
    </row>
    <row r="10" spans="1:6" ht="22.5" customHeight="1" x14ac:dyDescent="0.15">
      <c r="A10" s="10" t="s">
        <v>46</v>
      </c>
      <c r="B10" s="11" t="s">
        <v>6</v>
      </c>
      <c r="C10" s="41"/>
      <c r="D10" s="12">
        <f>$D$2</f>
        <v>3</v>
      </c>
      <c r="E10" s="41">
        <f t="shared" si="0"/>
        <v>0</v>
      </c>
    </row>
    <row r="11" spans="1:6" ht="22.5" customHeight="1" x14ac:dyDescent="0.2">
      <c r="A11" s="48" t="s">
        <v>49</v>
      </c>
      <c r="B11" s="7"/>
      <c r="C11" s="43"/>
      <c r="D11" s="12"/>
      <c r="E11" s="41"/>
    </row>
    <row r="12" spans="1:6" ht="22.5" customHeight="1" x14ac:dyDescent="0.15">
      <c r="A12" s="10" t="s">
        <v>50</v>
      </c>
      <c r="B12" s="11" t="s">
        <v>6</v>
      </c>
      <c r="C12" s="41">
        <v>60000</v>
      </c>
      <c r="D12" s="12">
        <f>$D$2</f>
        <v>3</v>
      </c>
      <c r="E12" s="41">
        <f t="shared" ref="E12:E13" si="1">C12*D12</f>
        <v>180000</v>
      </c>
    </row>
    <row r="13" spans="1:6" ht="22.5" customHeight="1" x14ac:dyDescent="0.15">
      <c r="A13" s="10" t="s">
        <v>51</v>
      </c>
      <c r="B13" s="11" t="s">
        <v>6</v>
      </c>
      <c r="C13" s="41">
        <v>100000</v>
      </c>
      <c r="D13" s="12">
        <v>1</v>
      </c>
      <c r="E13" s="41">
        <f t="shared" si="1"/>
        <v>100000</v>
      </c>
    </row>
    <row r="14" spans="1:6" ht="22.5" customHeight="1" x14ac:dyDescent="0.2">
      <c r="A14" s="14" t="s">
        <v>9</v>
      </c>
      <c r="B14" s="7"/>
      <c r="C14" s="42"/>
      <c r="D14" s="12"/>
      <c r="E14" s="41"/>
    </row>
    <row r="15" spans="1:6" ht="22.5" customHeight="1" x14ac:dyDescent="0.2">
      <c r="A15" s="9" t="s">
        <v>10</v>
      </c>
      <c r="B15" s="7"/>
      <c r="C15" s="42"/>
      <c r="D15" s="12"/>
      <c r="E15" s="41"/>
    </row>
    <row r="16" spans="1:6" ht="22.5" customHeight="1" x14ac:dyDescent="0.15">
      <c r="A16" s="10" t="s">
        <v>47</v>
      </c>
      <c r="B16" s="11" t="s">
        <v>12</v>
      </c>
      <c r="C16" s="41">
        <v>850000</v>
      </c>
      <c r="D16" s="12">
        <v>1</v>
      </c>
      <c r="E16" s="41">
        <f t="shared" ref="E16:E29" si="2">C16*D16</f>
        <v>850000</v>
      </c>
      <c r="F16" s="47"/>
    </row>
    <row r="17" spans="1:6" ht="22.5" customHeight="1" x14ac:dyDescent="0.15">
      <c r="A17" s="10" t="s">
        <v>48</v>
      </c>
      <c r="B17" s="11" t="s">
        <v>12</v>
      </c>
      <c r="C17" s="41">
        <v>1200000</v>
      </c>
      <c r="D17" s="12"/>
      <c r="E17" s="41">
        <f t="shared" si="2"/>
        <v>0</v>
      </c>
      <c r="F17" s="47"/>
    </row>
    <row r="18" spans="1:6" ht="22.5" hidden="1" customHeight="1" x14ac:dyDescent="0.2">
      <c r="A18" s="9" t="s">
        <v>16</v>
      </c>
      <c r="B18" s="7"/>
      <c r="C18" s="42"/>
      <c r="D18" s="12"/>
      <c r="E18" s="41"/>
    </row>
    <row r="19" spans="1:6" ht="22.5" hidden="1" customHeight="1" x14ac:dyDescent="0.15">
      <c r="A19" s="13" t="s">
        <v>17</v>
      </c>
      <c r="B19" s="11" t="s">
        <v>4</v>
      </c>
      <c r="C19" s="41"/>
      <c r="D19" s="12">
        <v>2</v>
      </c>
      <c r="E19" s="41">
        <f t="shared" si="2"/>
        <v>0</v>
      </c>
    </row>
    <row r="20" spans="1:6" ht="22.5" hidden="1" customHeight="1" x14ac:dyDescent="0.15">
      <c r="A20" s="10" t="s">
        <v>26</v>
      </c>
      <c r="B20" s="11" t="s">
        <v>4</v>
      </c>
      <c r="C20" s="41"/>
      <c r="D20" s="12"/>
      <c r="E20" s="41">
        <f t="shared" si="2"/>
        <v>0</v>
      </c>
    </row>
    <row r="21" spans="1:6" ht="22.5" hidden="1" customHeight="1" x14ac:dyDescent="0.2">
      <c r="A21" s="14" t="s">
        <v>18</v>
      </c>
      <c r="B21" s="7"/>
      <c r="C21" s="42"/>
      <c r="D21" s="12"/>
      <c r="E21" s="41">
        <f t="shared" si="2"/>
        <v>0</v>
      </c>
    </row>
    <row r="22" spans="1:6" ht="22.5" hidden="1" customHeight="1" x14ac:dyDescent="0.2">
      <c r="A22" s="9" t="s">
        <v>19</v>
      </c>
      <c r="B22" s="7"/>
      <c r="C22" s="42"/>
      <c r="D22" s="12"/>
      <c r="E22" s="41">
        <f t="shared" si="2"/>
        <v>0</v>
      </c>
    </row>
    <row r="23" spans="1:6" ht="22.5" hidden="1" customHeight="1" x14ac:dyDescent="0.15">
      <c r="A23" s="13" t="s">
        <v>20</v>
      </c>
      <c r="B23" s="11" t="s">
        <v>12</v>
      </c>
      <c r="C23" s="41">
        <v>250000</v>
      </c>
      <c r="D23" s="12"/>
      <c r="E23" s="41">
        <f t="shared" si="2"/>
        <v>0</v>
      </c>
    </row>
    <row r="24" spans="1:6" ht="22.5" hidden="1" customHeight="1" x14ac:dyDescent="0.15">
      <c r="A24" s="10" t="s">
        <v>27</v>
      </c>
      <c r="B24" s="11" t="s">
        <v>12</v>
      </c>
      <c r="C24" s="41">
        <v>250000</v>
      </c>
      <c r="D24" s="12"/>
      <c r="E24" s="41">
        <f t="shared" si="2"/>
        <v>0</v>
      </c>
    </row>
    <row r="25" spans="1:6" ht="22.5" hidden="1" customHeight="1" x14ac:dyDescent="0.15">
      <c r="A25" s="10" t="s">
        <v>28</v>
      </c>
      <c r="B25" s="11" t="s">
        <v>12</v>
      </c>
      <c r="C25" s="41">
        <v>200000</v>
      </c>
      <c r="D25" s="12"/>
      <c r="E25" s="41">
        <f t="shared" si="2"/>
        <v>0</v>
      </c>
    </row>
    <row r="26" spans="1:6" ht="22.5" customHeight="1" x14ac:dyDescent="0.2">
      <c r="A26" s="14" t="s">
        <v>21</v>
      </c>
      <c r="B26" s="7"/>
      <c r="C26" s="42"/>
      <c r="D26" s="12"/>
      <c r="E26" s="41">
        <f t="shared" si="2"/>
        <v>0</v>
      </c>
    </row>
    <row r="27" spans="1:6" ht="22.5" customHeight="1" x14ac:dyDescent="0.2">
      <c r="A27" s="9" t="s">
        <v>22</v>
      </c>
      <c r="B27" s="7"/>
      <c r="C27" s="42"/>
      <c r="D27" s="12"/>
      <c r="E27" s="41">
        <f t="shared" si="2"/>
        <v>0</v>
      </c>
    </row>
    <row r="28" spans="1:6" ht="22.5" customHeight="1" x14ac:dyDescent="0.15">
      <c r="A28" s="13" t="s">
        <v>23</v>
      </c>
      <c r="B28" s="11" t="s">
        <v>59</v>
      </c>
      <c r="C28" s="41">
        <v>10000</v>
      </c>
      <c r="D28" s="12">
        <f>D2</f>
        <v>3</v>
      </c>
      <c r="E28" s="41">
        <f t="shared" si="2"/>
        <v>30000</v>
      </c>
    </row>
    <row r="29" spans="1:6" ht="22.5" hidden="1" customHeight="1" x14ac:dyDescent="0.15">
      <c r="A29" s="13" t="s">
        <v>24</v>
      </c>
      <c r="B29" s="11" t="s">
        <v>6</v>
      </c>
      <c r="C29" s="41">
        <v>60000</v>
      </c>
      <c r="D29" s="12"/>
      <c r="E29" s="41">
        <f t="shared" si="2"/>
        <v>0</v>
      </c>
    </row>
    <row r="30" spans="1:6" s="1" customFormat="1" ht="30" customHeight="1" x14ac:dyDescent="0.15">
      <c r="A30" s="16" t="s">
        <v>36</v>
      </c>
      <c r="B30" s="15"/>
      <c r="C30" s="5"/>
      <c r="D30" s="12"/>
      <c r="E30" s="44">
        <f>SUM(E6:E29)</f>
        <v>1835000</v>
      </c>
    </row>
    <row r="31" spans="1:6" ht="36" customHeight="1" x14ac:dyDescent="0.15">
      <c r="A31" s="16" t="s">
        <v>41</v>
      </c>
      <c r="B31" s="8"/>
      <c r="C31" s="8"/>
      <c r="D31" s="8"/>
      <c r="E31" s="44">
        <f>E30/D2</f>
        <v>611666.66666666663</v>
      </c>
    </row>
    <row r="33" spans="1:5" ht="21" x14ac:dyDescent="0.15">
      <c r="A33" s="49" t="s">
        <v>52</v>
      </c>
      <c r="B33" s="50">
        <v>900000</v>
      </c>
      <c r="C33" s="49"/>
      <c r="D33" s="50">
        <v>1850000</v>
      </c>
      <c r="E33" s="49"/>
    </row>
    <row r="34" spans="1:5" ht="21" x14ac:dyDescent="0.15">
      <c r="A34" s="49" t="s">
        <v>43</v>
      </c>
      <c r="B34" s="50">
        <f>B33*D2</f>
        <v>2700000</v>
      </c>
      <c r="C34" s="49"/>
      <c r="D34" s="50">
        <f>100*D33/125</f>
        <v>1480000</v>
      </c>
      <c r="E34" s="49"/>
    </row>
    <row r="35" spans="1:5" ht="21" x14ac:dyDescent="0.15">
      <c r="A35" s="49" t="s">
        <v>53</v>
      </c>
      <c r="B35" s="50">
        <f>B34-E30</f>
        <v>865000</v>
      </c>
      <c r="C35" s="49"/>
      <c r="D35" s="49"/>
      <c r="E35" s="49"/>
    </row>
    <row r="36" spans="1:5" ht="21" x14ac:dyDescent="0.15">
      <c r="A36" s="49" t="s">
        <v>54</v>
      </c>
      <c r="B36" s="50">
        <f>B35/B34*100</f>
        <v>32.037037037037038</v>
      </c>
      <c r="C36" s="49"/>
      <c r="D36" s="49"/>
      <c r="E36" s="49"/>
    </row>
    <row r="37" spans="1:5" ht="21" x14ac:dyDescent="0.15">
      <c r="A37" s="49"/>
      <c r="B37" s="50"/>
      <c r="C37" s="49"/>
      <c r="D37" s="49"/>
      <c r="E37" s="49"/>
    </row>
    <row r="38" spans="1:5" ht="21" x14ac:dyDescent="0.15">
      <c r="A38" s="49" t="s">
        <v>55</v>
      </c>
      <c r="B38" s="50">
        <f>B33*25%</f>
        <v>225000</v>
      </c>
      <c r="C38" s="49"/>
      <c r="D38" s="49"/>
      <c r="E38" s="49"/>
    </row>
    <row r="39" spans="1:5" ht="21" x14ac:dyDescent="0.15">
      <c r="A39" s="49" t="s">
        <v>56</v>
      </c>
      <c r="B39" s="50">
        <f>B33+B38</f>
        <v>1125000</v>
      </c>
      <c r="C39" s="49"/>
      <c r="D39" s="49"/>
      <c r="E39" s="49"/>
    </row>
    <row r="40" spans="1:5" ht="21" x14ac:dyDescent="0.15">
      <c r="A40" s="49"/>
      <c r="B40" s="49"/>
      <c r="C40" s="49"/>
      <c r="D40" s="49"/>
      <c r="E40" s="49"/>
    </row>
    <row r="41" spans="1:5" ht="21" x14ac:dyDescent="0.15">
      <c r="A41" s="49"/>
      <c r="B41" s="49"/>
      <c r="C41" s="49"/>
      <c r="D41" s="49"/>
      <c r="E41" s="49"/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0626-BC49-4A62-890A-554E7E196CB8}">
  <sheetPr>
    <pageSetUpPr fitToPage="1"/>
  </sheetPr>
  <dimension ref="A1:F41"/>
  <sheetViews>
    <sheetView zoomScaleNormal="70" workbookViewId="0">
      <selection activeCell="B34" sqref="B34"/>
    </sheetView>
  </sheetViews>
  <sheetFormatPr baseColWidth="10" defaultColWidth="9" defaultRowHeight="13" x14ac:dyDescent="0.15"/>
  <cols>
    <col min="1" max="1" width="88.19921875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6" max="6" width="21.3984375" customWidth="1"/>
    <col min="7" max="8" width="10.796875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6" ht="25.5" customHeight="1" x14ac:dyDescent="0.15">
      <c r="A1" s="2" t="s">
        <v>29</v>
      </c>
      <c r="B1" s="2" t="s">
        <v>30</v>
      </c>
      <c r="C1" s="2" t="s">
        <v>31</v>
      </c>
      <c r="D1" s="2" t="s">
        <v>32</v>
      </c>
    </row>
    <row r="2" spans="1:6" ht="27.75" customHeight="1" x14ac:dyDescent="0.15">
      <c r="A2" s="3"/>
      <c r="B2" s="3"/>
      <c r="C2" s="3">
        <v>1</v>
      </c>
      <c r="D2" s="45">
        <v>4</v>
      </c>
    </row>
    <row r="3" spans="1:6" ht="27.75" customHeight="1" x14ac:dyDescent="0.15">
      <c r="A3" s="4"/>
      <c r="B3" s="4"/>
      <c r="C3" s="4"/>
    </row>
    <row r="4" spans="1:6" ht="35.25" customHeight="1" x14ac:dyDescent="0.15">
      <c r="A4" s="5" t="s">
        <v>0</v>
      </c>
      <c r="B4" s="5" t="s">
        <v>1</v>
      </c>
      <c r="C4" s="5" t="s">
        <v>2</v>
      </c>
      <c r="D4" s="5" t="s">
        <v>33</v>
      </c>
      <c r="E4" s="5" t="s">
        <v>34</v>
      </c>
    </row>
    <row r="5" spans="1:6" ht="22.5" customHeight="1" x14ac:dyDescent="0.2">
      <c r="A5" s="6" t="s">
        <v>3</v>
      </c>
      <c r="B5" s="7"/>
      <c r="C5" s="7"/>
      <c r="D5" s="8"/>
      <c r="E5" s="8"/>
    </row>
    <row r="6" spans="1:6" ht="22.5" customHeight="1" x14ac:dyDescent="0.2">
      <c r="A6" s="6" t="s">
        <v>5</v>
      </c>
      <c r="B6" s="7"/>
      <c r="C6" s="42"/>
      <c r="D6" s="12"/>
      <c r="E6" s="41">
        <f t="shared" ref="E6:E10" si="0">C6*D6</f>
        <v>0</v>
      </c>
    </row>
    <row r="7" spans="1:6" ht="22.5" customHeight="1" x14ac:dyDescent="0.2">
      <c r="A7" s="9" t="s">
        <v>7</v>
      </c>
      <c r="B7" s="7"/>
      <c r="C7" s="43"/>
      <c r="D7" s="12"/>
      <c r="E7" s="41"/>
    </row>
    <row r="8" spans="1:6" ht="22.5" customHeight="1" x14ac:dyDescent="0.15">
      <c r="A8" s="10" t="s">
        <v>25</v>
      </c>
      <c r="B8" s="11" t="s">
        <v>6</v>
      </c>
      <c r="C8" s="41">
        <v>75000</v>
      </c>
      <c r="D8" s="12">
        <f>$D$2</f>
        <v>4</v>
      </c>
      <c r="E8" s="41">
        <f t="shared" si="0"/>
        <v>300000</v>
      </c>
    </row>
    <row r="9" spans="1:6" ht="22.5" customHeight="1" x14ac:dyDescent="0.15">
      <c r="A9" s="13" t="s">
        <v>8</v>
      </c>
      <c r="B9" s="11" t="s">
        <v>6</v>
      </c>
      <c r="C9" s="41">
        <v>450000</v>
      </c>
      <c r="D9" s="12">
        <f>ROUNDUP(D2/5,0)</f>
        <v>1</v>
      </c>
      <c r="E9" s="41">
        <f t="shared" si="0"/>
        <v>450000</v>
      </c>
    </row>
    <row r="10" spans="1:6" ht="22.5" customHeight="1" x14ac:dyDescent="0.15">
      <c r="A10" s="10" t="s">
        <v>46</v>
      </c>
      <c r="B10" s="11" t="s">
        <v>6</v>
      </c>
      <c r="C10" s="41"/>
      <c r="D10" s="12">
        <f>$D$2</f>
        <v>4</v>
      </c>
      <c r="E10" s="41">
        <f t="shared" si="0"/>
        <v>0</v>
      </c>
    </row>
    <row r="11" spans="1:6" ht="22.5" customHeight="1" x14ac:dyDescent="0.2">
      <c r="A11" s="48" t="s">
        <v>49</v>
      </c>
      <c r="B11" s="7"/>
      <c r="C11" s="43"/>
      <c r="D11" s="12"/>
      <c r="E11" s="41"/>
    </row>
    <row r="12" spans="1:6" ht="22.5" customHeight="1" x14ac:dyDescent="0.15">
      <c r="A12" s="10" t="s">
        <v>50</v>
      </c>
      <c r="B12" s="11" t="s">
        <v>6</v>
      </c>
      <c r="C12" s="41">
        <v>60000</v>
      </c>
      <c r="D12" s="12">
        <f>$D$2</f>
        <v>4</v>
      </c>
      <c r="E12" s="41">
        <f t="shared" ref="E12:E13" si="1">C12*D12</f>
        <v>240000</v>
      </c>
    </row>
    <row r="13" spans="1:6" ht="22.5" customHeight="1" x14ac:dyDescent="0.15">
      <c r="A13" s="10" t="s">
        <v>51</v>
      </c>
      <c r="B13" s="11" t="s">
        <v>6</v>
      </c>
      <c r="C13" s="41">
        <v>100000</v>
      </c>
      <c r="D13" s="12">
        <v>1</v>
      </c>
      <c r="E13" s="41">
        <f t="shared" si="1"/>
        <v>100000</v>
      </c>
    </row>
    <row r="14" spans="1:6" ht="22.5" customHeight="1" x14ac:dyDescent="0.2">
      <c r="A14" s="14" t="s">
        <v>9</v>
      </c>
      <c r="B14" s="7"/>
      <c r="C14" s="42"/>
      <c r="D14" s="12"/>
      <c r="E14" s="41"/>
    </row>
    <row r="15" spans="1:6" ht="22.5" customHeight="1" x14ac:dyDescent="0.2">
      <c r="A15" s="9" t="s">
        <v>10</v>
      </c>
      <c r="B15" s="7"/>
      <c r="C15" s="42"/>
      <c r="D15" s="12"/>
      <c r="E15" s="41"/>
    </row>
    <row r="16" spans="1:6" ht="22.5" customHeight="1" x14ac:dyDescent="0.15">
      <c r="A16" s="10" t="s">
        <v>47</v>
      </c>
      <c r="B16" s="11" t="s">
        <v>12</v>
      </c>
      <c r="C16" s="41">
        <v>1050000</v>
      </c>
      <c r="D16" s="12"/>
      <c r="E16" s="41">
        <f t="shared" ref="E16:E29" si="2">C16*D16</f>
        <v>0</v>
      </c>
      <c r="F16" s="47"/>
    </row>
    <row r="17" spans="1:6" ht="22.5" customHeight="1" x14ac:dyDescent="0.15">
      <c r="A17" s="10" t="s">
        <v>48</v>
      </c>
      <c r="B17" s="11" t="s">
        <v>12</v>
      </c>
      <c r="C17" s="41">
        <v>1050000</v>
      </c>
      <c r="D17" s="12">
        <v>1</v>
      </c>
      <c r="E17" s="41">
        <f t="shared" si="2"/>
        <v>1050000</v>
      </c>
      <c r="F17" s="47"/>
    </row>
    <row r="18" spans="1:6" ht="22.5" hidden="1" customHeight="1" x14ac:dyDescent="0.2">
      <c r="A18" s="9" t="s">
        <v>16</v>
      </c>
      <c r="B18" s="7"/>
      <c r="C18" s="42"/>
      <c r="D18" s="12"/>
      <c r="E18" s="41"/>
    </row>
    <row r="19" spans="1:6" ht="22.5" hidden="1" customHeight="1" x14ac:dyDescent="0.15">
      <c r="A19" s="13" t="s">
        <v>17</v>
      </c>
      <c r="B19" s="11" t="s">
        <v>4</v>
      </c>
      <c r="C19" s="41"/>
      <c r="D19" s="12">
        <v>2</v>
      </c>
      <c r="E19" s="41">
        <f t="shared" si="2"/>
        <v>0</v>
      </c>
    </row>
    <row r="20" spans="1:6" ht="22.5" hidden="1" customHeight="1" x14ac:dyDescent="0.15">
      <c r="A20" s="10" t="s">
        <v>26</v>
      </c>
      <c r="B20" s="11" t="s">
        <v>4</v>
      </c>
      <c r="C20" s="41"/>
      <c r="D20" s="12"/>
      <c r="E20" s="41">
        <f t="shared" si="2"/>
        <v>0</v>
      </c>
    </row>
    <row r="21" spans="1:6" ht="22.5" hidden="1" customHeight="1" x14ac:dyDescent="0.2">
      <c r="A21" s="14" t="s">
        <v>18</v>
      </c>
      <c r="B21" s="7"/>
      <c r="C21" s="42"/>
      <c r="D21" s="12"/>
      <c r="E21" s="41">
        <f t="shared" si="2"/>
        <v>0</v>
      </c>
    </row>
    <row r="22" spans="1:6" ht="22.5" hidden="1" customHeight="1" x14ac:dyDescent="0.2">
      <c r="A22" s="9" t="s">
        <v>19</v>
      </c>
      <c r="B22" s="7"/>
      <c r="C22" s="42"/>
      <c r="D22" s="12"/>
      <c r="E22" s="41">
        <f t="shared" si="2"/>
        <v>0</v>
      </c>
    </row>
    <row r="23" spans="1:6" ht="22.5" hidden="1" customHeight="1" x14ac:dyDescent="0.15">
      <c r="A23" s="13" t="s">
        <v>20</v>
      </c>
      <c r="B23" s="11" t="s">
        <v>12</v>
      </c>
      <c r="C23" s="41">
        <v>250000</v>
      </c>
      <c r="D23" s="12"/>
      <c r="E23" s="41">
        <f t="shared" si="2"/>
        <v>0</v>
      </c>
    </row>
    <row r="24" spans="1:6" ht="22.5" hidden="1" customHeight="1" x14ac:dyDescent="0.15">
      <c r="A24" s="10" t="s">
        <v>27</v>
      </c>
      <c r="B24" s="11" t="s">
        <v>12</v>
      </c>
      <c r="C24" s="41">
        <v>250000</v>
      </c>
      <c r="D24" s="12"/>
      <c r="E24" s="41">
        <f t="shared" si="2"/>
        <v>0</v>
      </c>
    </row>
    <row r="25" spans="1:6" ht="22.5" hidden="1" customHeight="1" x14ac:dyDescent="0.15">
      <c r="A25" s="10" t="s">
        <v>28</v>
      </c>
      <c r="B25" s="11" t="s">
        <v>12</v>
      </c>
      <c r="C25" s="41">
        <v>200000</v>
      </c>
      <c r="D25" s="12"/>
      <c r="E25" s="41">
        <f t="shared" si="2"/>
        <v>0</v>
      </c>
    </row>
    <row r="26" spans="1:6" ht="22.5" customHeight="1" x14ac:dyDescent="0.2">
      <c r="A26" s="14" t="s">
        <v>21</v>
      </c>
      <c r="B26" s="7"/>
      <c r="C26" s="42"/>
      <c r="D26" s="12"/>
      <c r="E26" s="41">
        <f t="shared" si="2"/>
        <v>0</v>
      </c>
    </row>
    <row r="27" spans="1:6" ht="22.5" customHeight="1" x14ac:dyDescent="0.2">
      <c r="A27" s="9" t="s">
        <v>22</v>
      </c>
      <c r="B27" s="7"/>
      <c r="C27" s="42"/>
      <c r="D27" s="12"/>
      <c r="E27" s="41">
        <f t="shared" si="2"/>
        <v>0</v>
      </c>
    </row>
    <row r="28" spans="1:6" ht="22.5" customHeight="1" x14ac:dyDescent="0.15">
      <c r="A28" s="13" t="s">
        <v>23</v>
      </c>
      <c r="B28" s="11" t="s">
        <v>35</v>
      </c>
      <c r="C28" s="41">
        <v>10000</v>
      </c>
      <c r="D28" s="12">
        <f>D2</f>
        <v>4</v>
      </c>
      <c r="E28" s="41">
        <f t="shared" si="2"/>
        <v>40000</v>
      </c>
    </row>
    <row r="29" spans="1:6" ht="22.5" hidden="1" customHeight="1" x14ac:dyDescent="0.15">
      <c r="A29" s="13" t="s">
        <v>24</v>
      </c>
      <c r="B29" s="11" t="s">
        <v>6</v>
      </c>
      <c r="C29" s="41">
        <v>60000</v>
      </c>
      <c r="D29" s="12"/>
      <c r="E29" s="41">
        <f t="shared" si="2"/>
        <v>0</v>
      </c>
    </row>
    <row r="30" spans="1:6" s="1" customFormat="1" ht="30" customHeight="1" x14ac:dyDescent="0.15">
      <c r="A30" s="16" t="s">
        <v>36</v>
      </c>
      <c r="B30" s="15"/>
      <c r="C30" s="5"/>
      <c r="D30" s="12"/>
      <c r="E30" s="44">
        <f>SUM(E6:E29)</f>
        <v>2180000</v>
      </c>
    </row>
    <row r="31" spans="1:6" ht="36" customHeight="1" x14ac:dyDescent="0.15">
      <c r="A31" s="16" t="s">
        <v>41</v>
      </c>
      <c r="B31" s="8"/>
      <c r="C31" s="8"/>
      <c r="D31" s="8"/>
      <c r="E31" s="44">
        <f>E30/D2</f>
        <v>545000</v>
      </c>
    </row>
    <row r="33" spans="1:5" ht="21" x14ac:dyDescent="0.15">
      <c r="A33" s="49" t="s">
        <v>52</v>
      </c>
      <c r="B33" s="50">
        <v>850000</v>
      </c>
      <c r="C33" s="49"/>
      <c r="D33" s="50">
        <v>1700000</v>
      </c>
      <c r="E33" s="49"/>
    </row>
    <row r="34" spans="1:5" ht="21" x14ac:dyDescent="0.15">
      <c r="A34" s="49" t="s">
        <v>43</v>
      </c>
      <c r="B34" s="50">
        <f>B33*D2</f>
        <v>3400000</v>
      </c>
      <c r="C34" s="49"/>
      <c r="D34" s="50">
        <f>100*D33/125</f>
        <v>1360000</v>
      </c>
      <c r="E34" s="49"/>
    </row>
    <row r="35" spans="1:5" ht="21" x14ac:dyDescent="0.15">
      <c r="A35" s="49" t="s">
        <v>53</v>
      </c>
      <c r="B35" s="50">
        <f>B34-E30</f>
        <v>1220000</v>
      </c>
      <c r="C35" s="49"/>
      <c r="D35" s="49"/>
      <c r="E35" s="49"/>
    </row>
    <row r="36" spans="1:5" ht="21" x14ac:dyDescent="0.15">
      <c r="A36" s="49" t="s">
        <v>54</v>
      </c>
      <c r="B36" s="50">
        <f>B35/B34*100</f>
        <v>35.882352941176471</v>
      </c>
      <c r="C36" s="49"/>
      <c r="D36" s="49"/>
      <c r="E36" s="49"/>
    </row>
    <row r="37" spans="1:5" ht="21" x14ac:dyDescent="0.15">
      <c r="A37" s="49"/>
      <c r="B37" s="50"/>
      <c r="C37" s="49"/>
      <c r="D37" s="49"/>
      <c r="E37" s="49"/>
    </row>
    <row r="38" spans="1:5" ht="21" x14ac:dyDescent="0.15">
      <c r="A38" s="49" t="s">
        <v>55</v>
      </c>
      <c r="B38" s="50">
        <f>B33*25%</f>
        <v>212500</v>
      </c>
      <c r="C38" s="49"/>
      <c r="D38" s="49"/>
      <c r="E38" s="49"/>
    </row>
    <row r="39" spans="1:5" ht="21" x14ac:dyDescent="0.15">
      <c r="A39" s="49" t="s">
        <v>56</v>
      </c>
      <c r="B39" s="50">
        <f>B33+B38</f>
        <v>1062500</v>
      </c>
      <c r="C39" s="49"/>
      <c r="D39" s="49"/>
      <c r="E39" s="49"/>
    </row>
    <row r="40" spans="1:5" ht="21" x14ac:dyDescent="0.15">
      <c r="A40" s="49"/>
      <c r="B40" s="49"/>
      <c r="C40" s="49"/>
      <c r="D40" s="49"/>
      <c r="E40" s="49"/>
    </row>
    <row r="41" spans="1:5" ht="21" x14ac:dyDescent="0.15">
      <c r="A41" s="49"/>
      <c r="B41" s="49"/>
      <c r="C41" s="49"/>
      <c r="D41" s="49"/>
      <c r="E41" s="49"/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FB20-A614-4F43-A4E8-591B699E242C}">
  <sheetPr>
    <pageSetUpPr fitToPage="1"/>
  </sheetPr>
  <dimension ref="A1:F41"/>
  <sheetViews>
    <sheetView topLeftCell="A10" zoomScale="142" zoomScaleNormal="70" workbookViewId="0">
      <selection activeCell="B34" sqref="B34"/>
    </sheetView>
  </sheetViews>
  <sheetFormatPr baseColWidth="10" defaultColWidth="9" defaultRowHeight="13" x14ac:dyDescent="0.15"/>
  <cols>
    <col min="1" max="1" width="62.3984375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6" max="6" width="21.3984375" customWidth="1"/>
    <col min="7" max="8" width="10.796875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6" ht="25.5" customHeight="1" x14ac:dyDescent="0.15">
      <c r="A1" s="2" t="s">
        <v>29</v>
      </c>
      <c r="B1" s="2" t="s">
        <v>30</v>
      </c>
      <c r="C1" s="2" t="s">
        <v>31</v>
      </c>
      <c r="D1" s="2" t="s">
        <v>32</v>
      </c>
    </row>
    <row r="2" spans="1:6" ht="27.75" customHeight="1" x14ac:dyDescent="0.15">
      <c r="A2" s="3"/>
      <c r="B2" s="3"/>
      <c r="C2" s="3">
        <v>1</v>
      </c>
      <c r="D2" s="45">
        <v>5</v>
      </c>
    </row>
    <row r="3" spans="1:6" ht="27.75" customHeight="1" x14ac:dyDescent="0.15">
      <c r="A3" s="4"/>
      <c r="B3" s="4"/>
      <c r="C3" s="4"/>
    </row>
    <row r="4" spans="1:6" ht="35.25" customHeight="1" x14ac:dyDescent="0.15">
      <c r="A4" s="5" t="s">
        <v>0</v>
      </c>
      <c r="B4" s="5" t="s">
        <v>1</v>
      </c>
      <c r="C4" s="5" t="s">
        <v>2</v>
      </c>
      <c r="D4" s="5" t="s">
        <v>33</v>
      </c>
      <c r="E4" s="5" t="s">
        <v>34</v>
      </c>
    </row>
    <row r="5" spans="1:6" ht="22.5" customHeight="1" x14ac:dyDescent="0.2">
      <c r="A5" s="6" t="s">
        <v>3</v>
      </c>
      <c r="B5" s="7"/>
      <c r="C5" s="7"/>
      <c r="D5" s="8"/>
      <c r="E5" s="8"/>
    </row>
    <row r="6" spans="1:6" ht="22.5" customHeight="1" x14ac:dyDescent="0.2">
      <c r="A6" s="6" t="s">
        <v>5</v>
      </c>
      <c r="B6" s="7"/>
      <c r="C6" s="42"/>
      <c r="D6" s="12"/>
      <c r="E6" s="41">
        <f t="shared" ref="E6:E10" si="0">C6*D6</f>
        <v>0</v>
      </c>
    </row>
    <row r="7" spans="1:6" ht="22.5" customHeight="1" x14ac:dyDescent="0.2">
      <c r="A7" s="9" t="s">
        <v>7</v>
      </c>
      <c r="B7" s="7"/>
      <c r="C7" s="43"/>
      <c r="D7" s="12"/>
      <c r="E7" s="41"/>
    </row>
    <row r="8" spans="1:6" ht="22.5" customHeight="1" x14ac:dyDescent="0.15">
      <c r="A8" s="10" t="s">
        <v>25</v>
      </c>
      <c r="B8" s="11" t="s">
        <v>6</v>
      </c>
      <c r="C8" s="41">
        <v>75000</v>
      </c>
      <c r="D8" s="12">
        <f>$D$2</f>
        <v>5</v>
      </c>
      <c r="E8" s="41">
        <f t="shared" si="0"/>
        <v>375000</v>
      </c>
    </row>
    <row r="9" spans="1:6" ht="22.5" customHeight="1" x14ac:dyDescent="0.15">
      <c r="A9" s="13" t="s">
        <v>8</v>
      </c>
      <c r="B9" s="11" t="s">
        <v>6</v>
      </c>
      <c r="C9" s="41">
        <v>450000</v>
      </c>
      <c r="D9" s="12">
        <f>ROUNDUP(D2/5,0)</f>
        <v>1</v>
      </c>
      <c r="E9" s="41">
        <f t="shared" si="0"/>
        <v>450000</v>
      </c>
    </row>
    <row r="10" spans="1:6" ht="22.5" customHeight="1" x14ac:dyDescent="0.15">
      <c r="A10" s="10" t="s">
        <v>46</v>
      </c>
      <c r="B10" s="11" t="s">
        <v>6</v>
      </c>
      <c r="C10" s="41"/>
      <c r="D10" s="12">
        <f>$D$2</f>
        <v>5</v>
      </c>
      <c r="E10" s="41">
        <f t="shared" si="0"/>
        <v>0</v>
      </c>
    </row>
    <row r="11" spans="1:6" ht="22.5" customHeight="1" x14ac:dyDescent="0.2">
      <c r="A11" s="48" t="s">
        <v>49</v>
      </c>
      <c r="B11" s="7"/>
      <c r="C11" s="43"/>
      <c r="D11" s="12"/>
      <c r="E11" s="41"/>
    </row>
    <row r="12" spans="1:6" ht="22.5" customHeight="1" x14ac:dyDescent="0.15">
      <c r="A12" s="10" t="s">
        <v>50</v>
      </c>
      <c r="B12" s="11" t="s">
        <v>6</v>
      </c>
      <c r="C12" s="41">
        <v>60000</v>
      </c>
      <c r="D12" s="12">
        <f>$D$2</f>
        <v>5</v>
      </c>
      <c r="E12" s="41">
        <f t="shared" ref="E12:E13" si="1">C12*D12</f>
        <v>300000</v>
      </c>
    </row>
    <row r="13" spans="1:6" ht="22.5" customHeight="1" x14ac:dyDescent="0.15">
      <c r="A13" s="10" t="s">
        <v>51</v>
      </c>
      <c r="B13" s="11" t="s">
        <v>6</v>
      </c>
      <c r="C13" s="41">
        <v>100000</v>
      </c>
      <c r="D13" s="12">
        <v>1</v>
      </c>
      <c r="E13" s="41">
        <f t="shared" si="1"/>
        <v>100000</v>
      </c>
    </row>
    <row r="14" spans="1:6" ht="22.5" customHeight="1" x14ac:dyDescent="0.2">
      <c r="A14" s="14" t="s">
        <v>9</v>
      </c>
      <c r="B14" s="7"/>
      <c r="C14" s="42"/>
      <c r="D14" s="12"/>
      <c r="E14" s="41"/>
    </row>
    <row r="15" spans="1:6" ht="22.5" customHeight="1" x14ac:dyDescent="0.2">
      <c r="A15" s="9" t="s">
        <v>10</v>
      </c>
      <c r="B15" s="7"/>
      <c r="C15" s="42"/>
      <c r="D15" s="12"/>
      <c r="E15" s="41"/>
    </row>
    <row r="16" spans="1:6" ht="22.5" customHeight="1" x14ac:dyDescent="0.15">
      <c r="A16" s="10" t="s">
        <v>47</v>
      </c>
      <c r="B16" s="11" t="s">
        <v>12</v>
      </c>
      <c r="C16" s="41">
        <v>1050000</v>
      </c>
      <c r="D16" s="12"/>
      <c r="E16" s="41">
        <f t="shared" ref="E16:E29" si="2">C16*D16</f>
        <v>0</v>
      </c>
      <c r="F16" s="47"/>
    </row>
    <row r="17" spans="1:6" ht="22.5" customHeight="1" x14ac:dyDescent="0.15">
      <c r="A17" s="10" t="s">
        <v>48</v>
      </c>
      <c r="B17" s="11" t="s">
        <v>12</v>
      </c>
      <c r="C17" s="41">
        <v>1050000</v>
      </c>
      <c r="D17" s="12">
        <v>1</v>
      </c>
      <c r="E17" s="41">
        <f t="shared" si="2"/>
        <v>1050000</v>
      </c>
      <c r="F17" s="47"/>
    </row>
    <row r="18" spans="1:6" ht="22.5" hidden="1" customHeight="1" x14ac:dyDescent="0.2">
      <c r="A18" s="9" t="s">
        <v>16</v>
      </c>
      <c r="B18" s="7"/>
      <c r="C18" s="42"/>
      <c r="D18" s="12"/>
      <c r="E18" s="41"/>
    </row>
    <row r="19" spans="1:6" ht="22.5" hidden="1" customHeight="1" x14ac:dyDescent="0.15">
      <c r="A19" s="13" t="s">
        <v>17</v>
      </c>
      <c r="B19" s="11" t="s">
        <v>4</v>
      </c>
      <c r="C19" s="41"/>
      <c r="D19" s="12">
        <v>2</v>
      </c>
      <c r="E19" s="41">
        <f t="shared" si="2"/>
        <v>0</v>
      </c>
    </row>
    <row r="20" spans="1:6" ht="22.5" hidden="1" customHeight="1" x14ac:dyDescent="0.15">
      <c r="A20" s="10" t="s">
        <v>26</v>
      </c>
      <c r="B20" s="11" t="s">
        <v>4</v>
      </c>
      <c r="C20" s="41"/>
      <c r="D20" s="12"/>
      <c r="E20" s="41">
        <f t="shared" si="2"/>
        <v>0</v>
      </c>
    </row>
    <row r="21" spans="1:6" ht="22.5" hidden="1" customHeight="1" x14ac:dyDescent="0.2">
      <c r="A21" s="14" t="s">
        <v>18</v>
      </c>
      <c r="B21" s="7"/>
      <c r="C21" s="42"/>
      <c r="D21" s="12"/>
      <c r="E21" s="41">
        <f t="shared" si="2"/>
        <v>0</v>
      </c>
    </row>
    <row r="22" spans="1:6" ht="22.5" hidden="1" customHeight="1" x14ac:dyDescent="0.2">
      <c r="A22" s="9" t="s">
        <v>19</v>
      </c>
      <c r="B22" s="7"/>
      <c r="C22" s="42"/>
      <c r="D22" s="12"/>
      <c r="E22" s="41">
        <f t="shared" si="2"/>
        <v>0</v>
      </c>
    </row>
    <row r="23" spans="1:6" ht="22.5" hidden="1" customHeight="1" x14ac:dyDescent="0.15">
      <c r="A23" s="13" t="s">
        <v>20</v>
      </c>
      <c r="B23" s="11" t="s">
        <v>12</v>
      </c>
      <c r="C23" s="41">
        <v>250000</v>
      </c>
      <c r="D23" s="12"/>
      <c r="E23" s="41">
        <f t="shared" si="2"/>
        <v>0</v>
      </c>
    </row>
    <row r="24" spans="1:6" ht="22.5" hidden="1" customHeight="1" x14ac:dyDescent="0.15">
      <c r="A24" s="10" t="s">
        <v>27</v>
      </c>
      <c r="B24" s="11" t="s">
        <v>12</v>
      </c>
      <c r="C24" s="41">
        <v>250000</v>
      </c>
      <c r="D24" s="12"/>
      <c r="E24" s="41">
        <f t="shared" si="2"/>
        <v>0</v>
      </c>
    </row>
    <row r="25" spans="1:6" ht="22.5" hidden="1" customHeight="1" x14ac:dyDescent="0.15">
      <c r="A25" s="10" t="s">
        <v>28</v>
      </c>
      <c r="B25" s="11" t="s">
        <v>12</v>
      </c>
      <c r="C25" s="41">
        <v>200000</v>
      </c>
      <c r="D25" s="12"/>
      <c r="E25" s="41">
        <f t="shared" si="2"/>
        <v>0</v>
      </c>
    </row>
    <row r="26" spans="1:6" ht="22.5" customHeight="1" x14ac:dyDescent="0.2">
      <c r="A26" s="14" t="s">
        <v>21</v>
      </c>
      <c r="B26" s="7"/>
      <c r="C26" s="42"/>
      <c r="D26" s="12"/>
      <c r="E26" s="41">
        <f t="shared" si="2"/>
        <v>0</v>
      </c>
    </row>
    <row r="27" spans="1:6" ht="22.5" customHeight="1" x14ac:dyDescent="0.2">
      <c r="A27" s="9" t="s">
        <v>22</v>
      </c>
      <c r="B27" s="7"/>
      <c r="C27" s="42"/>
      <c r="D27" s="12"/>
      <c r="E27" s="41">
        <f t="shared" si="2"/>
        <v>0</v>
      </c>
    </row>
    <row r="28" spans="1:6" ht="22.5" customHeight="1" x14ac:dyDescent="0.15">
      <c r="A28" s="13" t="s">
        <v>23</v>
      </c>
      <c r="B28" s="11" t="s">
        <v>35</v>
      </c>
      <c r="C28" s="41">
        <v>10000</v>
      </c>
      <c r="D28" s="12">
        <f>D2</f>
        <v>5</v>
      </c>
      <c r="E28" s="41">
        <f t="shared" si="2"/>
        <v>50000</v>
      </c>
    </row>
    <row r="29" spans="1:6" ht="22.5" hidden="1" customHeight="1" x14ac:dyDescent="0.15">
      <c r="A29" s="13" t="s">
        <v>24</v>
      </c>
      <c r="B29" s="11" t="s">
        <v>6</v>
      </c>
      <c r="C29" s="41">
        <v>60000</v>
      </c>
      <c r="D29" s="12"/>
      <c r="E29" s="41">
        <f t="shared" si="2"/>
        <v>0</v>
      </c>
    </row>
    <row r="30" spans="1:6" s="1" customFormat="1" ht="30" customHeight="1" x14ac:dyDescent="0.15">
      <c r="A30" s="16" t="s">
        <v>36</v>
      </c>
      <c r="B30" s="15"/>
      <c r="C30" s="5"/>
      <c r="D30" s="12"/>
      <c r="E30" s="44">
        <f>SUM(E6:E29)</f>
        <v>2325000</v>
      </c>
    </row>
    <row r="31" spans="1:6" ht="36" customHeight="1" x14ac:dyDescent="0.15">
      <c r="A31" s="16" t="s">
        <v>41</v>
      </c>
      <c r="B31" s="8"/>
      <c r="C31" s="8"/>
      <c r="D31" s="8"/>
      <c r="E31" s="44">
        <f>E30/D2</f>
        <v>465000</v>
      </c>
    </row>
    <row r="33" spans="1:5" ht="21" x14ac:dyDescent="0.15">
      <c r="A33" s="49" t="s">
        <v>52</v>
      </c>
      <c r="B33" s="50">
        <v>700000</v>
      </c>
      <c r="C33" s="49"/>
      <c r="D33" s="49"/>
      <c r="E33" s="49"/>
    </row>
    <row r="34" spans="1:5" ht="21" x14ac:dyDescent="0.15">
      <c r="A34" s="49" t="s">
        <v>43</v>
      </c>
      <c r="B34" s="50">
        <f>B33*D2</f>
        <v>3500000</v>
      </c>
      <c r="C34" s="49"/>
      <c r="D34" s="49"/>
      <c r="E34" s="49"/>
    </row>
    <row r="35" spans="1:5" ht="21" x14ac:dyDescent="0.15">
      <c r="A35" s="49" t="s">
        <v>53</v>
      </c>
      <c r="B35" s="50">
        <f>B34-E30</f>
        <v>1175000</v>
      </c>
      <c r="C35" s="49"/>
      <c r="D35" s="49"/>
      <c r="E35" s="49"/>
    </row>
    <row r="36" spans="1:5" ht="21" x14ac:dyDescent="0.15">
      <c r="A36" s="49" t="s">
        <v>54</v>
      </c>
      <c r="B36" s="50">
        <f>B35/B34*100</f>
        <v>33.571428571428569</v>
      </c>
      <c r="C36" s="49"/>
      <c r="D36" s="49"/>
      <c r="E36" s="49"/>
    </row>
    <row r="37" spans="1:5" ht="21" x14ac:dyDescent="0.15">
      <c r="A37" s="49"/>
      <c r="B37" s="50"/>
      <c r="C37" s="49"/>
      <c r="D37" s="49"/>
      <c r="E37" s="49"/>
    </row>
    <row r="38" spans="1:5" ht="21" x14ac:dyDescent="0.15">
      <c r="A38" s="49" t="s">
        <v>55</v>
      </c>
      <c r="B38" s="50">
        <f>B33*25%</f>
        <v>175000</v>
      </c>
      <c r="C38" s="49"/>
      <c r="D38" s="49"/>
      <c r="E38" s="49"/>
    </row>
    <row r="39" spans="1:5" ht="21" x14ac:dyDescent="0.15">
      <c r="A39" s="49" t="s">
        <v>56</v>
      </c>
      <c r="B39" s="50">
        <f>B33+B38</f>
        <v>875000</v>
      </c>
      <c r="C39" s="49"/>
      <c r="D39" s="49"/>
      <c r="E39" s="49"/>
    </row>
    <row r="40" spans="1:5" ht="21" x14ac:dyDescent="0.15">
      <c r="A40" s="49"/>
      <c r="B40" s="49"/>
      <c r="C40" s="49"/>
      <c r="D40" s="49"/>
      <c r="E40" s="49"/>
    </row>
    <row r="41" spans="1:5" ht="21" x14ac:dyDescent="0.15">
      <c r="A41" s="49"/>
      <c r="B41" s="49"/>
      <c r="C41" s="49"/>
      <c r="D41" s="49"/>
      <c r="E41" s="49"/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5EB3-EAF1-4E97-9DE2-DAF9711A07BB}">
  <dimension ref="A1:I8"/>
  <sheetViews>
    <sheetView zoomScale="200" workbookViewId="0">
      <selection activeCell="D2" sqref="D2"/>
    </sheetView>
  </sheetViews>
  <sheetFormatPr baseColWidth="10" defaultColWidth="9" defaultRowHeight="13" x14ac:dyDescent="0.15"/>
  <cols>
    <col min="1" max="1" width="10.19921875" customWidth="1"/>
    <col min="2" max="2" width="20.796875" customWidth="1"/>
    <col min="3" max="3" width="22.19921875" customWidth="1"/>
    <col min="4" max="5" width="20" customWidth="1"/>
    <col min="6" max="6" width="19.796875" customWidth="1"/>
    <col min="7" max="7" width="23.19921875" customWidth="1"/>
    <col min="8" max="8" width="22.19921875" bestFit="1" customWidth="1"/>
    <col min="9" max="9" width="29.3984375" bestFit="1" customWidth="1"/>
  </cols>
  <sheetData>
    <row r="1" spans="1:9" ht="16" x14ac:dyDescent="0.2">
      <c r="A1" s="55" t="s">
        <v>37</v>
      </c>
      <c r="B1" s="55" t="s">
        <v>41</v>
      </c>
      <c r="C1" s="55" t="s">
        <v>36</v>
      </c>
      <c r="D1" s="55" t="s">
        <v>42</v>
      </c>
      <c r="E1" s="55" t="s">
        <v>43</v>
      </c>
      <c r="F1" s="55" t="s">
        <v>38</v>
      </c>
      <c r="G1" s="55" t="s">
        <v>39</v>
      </c>
      <c r="H1" s="56" t="s">
        <v>57</v>
      </c>
      <c r="I1" s="56" t="s">
        <v>58</v>
      </c>
    </row>
    <row r="2" spans="1:9" ht="15" x14ac:dyDescent="0.2">
      <c r="A2" s="51" t="s">
        <v>40</v>
      </c>
      <c r="B2" s="52">
        <f>'WNI 1 pax'!$E$31</f>
        <v>1545000</v>
      </c>
      <c r="C2" s="53">
        <f>B2*A2</f>
        <v>1545000</v>
      </c>
      <c r="D2" s="52">
        <f>'WNI 1 pax'!B33</f>
        <v>1900000</v>
      </c>
      <c r="E2" s="52">
        <f>D2*A2</f>
        <v>1900000</v>
      </c>
      <c r="F2" s="52">
        <f t="shared" ref="F2:F6" si="0">E2-C2</f>
        <v>355000</v>
      </c>
      <c r="G2" s="52">
        <f>F2/E2*100</f>
        <v>18.684210526315788</v>
      </c>
      <c r="H2" s="54">
        <f>D2*25%</f>
        <v>475000</v>
      </c>
      <c r="I2" s="54">
        <f>D2+H2</f>
        <v>2375000</v>
      </c>
    </row>
    <row r="3" spans="1:9" ht="15" x14ac:dyDescent="0.2">
      <c r="A3" s="51">
        <v>2</v>
      </c>
      <c r="B3" s="52">
        <f>'WNI 2 pax'!$E$31</f>
        <v>845000</v>
      </c>
      <c r="C3" s="53">
        <f t="shared" ref="C3:C6" si="1">B3*A3</f>
        <v>1690000</v>
      </c>
      <c r="D3" s="52">
        <f>'WNI 2 pax'!B33</f>
        <v>1100000</v>
      </c>
      <c r="E3" s="52">
        <f t="shared" ref="E3:E6" si="2">D3*A3</f>
        <v>2200000</v>
      </c>
      <c r="F3" s="52">
        <f t="shared" si="0"/>
        <v>510000</v>
      </c>
      <c r="G3" s="52">
        <f t="shared" ref="G3:G6" si="3">F3/E3*100</f>
        <v>23.18181818181818</v>
      </c>
      <c r="H3" s="54">
        <f t="shared" ref="H3:H6" si="4">D3*25%</f>
        <v>275000</v>
      </c>
      <c r="I3" s="54">
        <f t="shared" ref="I3:I6" si="5">D3+H3</f>
        <v>1375000</v>
      </c>
    </row>
    <row r="4" spans="1:9" ht="15" x14ac:dyDescent="0.2">
      <c r="A4" s="51">
        <v>3</v>
      </c>
      <c r="B4" s="53">
        <f>'WNI 3 pax'!$E$31</f>
        <v>611666.66666666663</v>
      </c>
      <c r="C4" s="53">
        <f t="shared" si="1"/>
        <v>1835000</v>
      </c>
      <c r="D4" s="52">
        <f>'WNI 3 pax'!B33</f>
        <v>900000</v>
      </c>
      <c r="E4" s="52">
        <f t="shared" si="2"/>
        <v>2700000</v>
      </c>
      <c r="F4" s="52">
        <f t="shared" si="0"/>
        <v>865000</v>
      </c>
      <c r="G4" s="52">
        <f t="shared" si="3"/>
        <v>32.037037037037038</v>
      </c>
      <c r="H4" s="54">
        <f t="shared" si="4"/>
        <v>225000</v>
      </c>
      <c r="I4" s="54">
        <f t="shared" si="5"/>
        <v>1125000</v>
      </c>
    </row>
    <row r="5" spans="1:9" ht="15" x14ac:dyDescent="0.2">
      <c r="A5" s="51">
        <v>4</v>
      </c>
      <c r="B5" s="53">
        <f>'WNI 4 pax'!$E$31</f>
        <v>545000</v>
      </c>
      <c r="C5" s="53">
        <f t="shared" si="1"/>
        <v>2180000</v>
      </c>
      <c r="D5" s="52">
        <f>'WNI 4 pax'!B33</f>
        <v>850000</v>
      </c>
      <c r="E5" s="52">
        <f t="shared" si="2"/>
        <v>3400000</v>
      </c>
      <c r="F5" s="52">
        <f t="shared" si="0"/>
        <v>1220000</v>
      </c>
      <c r="G5" s="52">
        <f t="shared" si="3"/>
        <v>35.882352941176471</v>
      </c>
      <c r="H5" s="54">
        <f t="shared" si="4"/>
        <v>212500</v>
      </c>
      <c r="I5" s="54">
        <f t="shared" si="5"/>
        <v>1062500</v>
      </c>
    </row>
    <row r="6" spans="1:9" ht="15" x14ac:dyDescent="0.2">
      <c r="A6" s="51">
        <v>5</v>
      </c>
      <c r="B6" s="53">
        <f>'WNI 5 pax'!$E$31</f>
        <v>465000</v>
      </c>
      <c r="C6" s="53">
        <f t="shared" si="1"/>
        <v>2325000</v>
      </c>
      <c r="D6" s="52">
        <f>'WNI 5 pax'!B33</f>
        <v>700000</v>
      </c>
      <c r="E6" s="52">
        <f t="shared" si="2"/>
        <v>3500000</v>
      </c>
      <c r="F6" s="52">
        <f t="shared" si="0"/>
        <v>1175000</v>
      </c>
      <c r="G6" s="52">
        <f t="shared" si="3"/>
        <v>33.571428571428569</v>
      </c>
      <c r="H6" s="54">
        <f t="shared" si="4"/>
        <v>175000</v>
      </c>
      <c r="I6" s="54">
        <f t="shared" si="5"/>
        <v>875000</v>
      </c>
    </row>
    <row r="7" spans="1:9" x14ac:dyDescent="0.15">
      <c r="B7" s="46"/>
      <c r="C7" s="46"/>
      <c r="D7" s="46"/>
      <c r="E7" s="46"/>
      <c r="F7" s="46"/>
      <c r="G7" s="46"/>
    </row>
    <row r="8" spans="1:9" x14ac:dyDescent="0.15">
      <c r="B8" s="46"/>
      <c r="C8" s="46"/>
      <c r="D8" s="46"/>
      <c r="E8" s="46"/>
      <c r="F8" s="46"/>
      <c r="G8" s="4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F8A8-959E-468C-A56E-8C194BB75659}">
  <dimension ref="A1:G16"/>
  <sheetViews>
    <sheetView workbookViewId="0">
      <selection activeCell="B16" sqref="B16"/>
    </sheetView>
  </sheetViews>
  <sheetFormatPr baseColWidth="10" defaultColWidth="9" defaultRowHeight="13" x14ac:dyDescent="0.15"/>
  <cols>
    <col min="1" max="1" width="10.19921875" customWidth="1"/>
    <col min="2" max="2" width="20.796875" customWidth="1"/>
    <col min="3" max="3" width="22.19921875" customWidth="1"/>
    <col min="4" max="5" width="20" customWidth="1"/>
    <col min="6" max="6" width="19.796875" customWidth="1"/>
    <col min="7" max="7" width="28" customWidth="1"/>
  </cols>
  <sheetData>
    <row r="1" spans="1:7" ht="25.5" customHeight="1" x14ac:dyDescent="0.15">
      <c r="A1" s="38" t="s">
        <v>29</v>
      </c>
      <c r="B1" s="39"/>
      <c r="C1" s="39"/>
      <c r="D1" s="39"/>
      <c r="E1" s="38" t="s">
        <v>30</v>
      </c>
      <c r="F1" s="38" t="s">
        <v>31</v>
      </c>
      <c r="G1" s="38" t="s">
        <v>32</v>
      </c>
    </row>
    <row r="2" spans="1:7" ht="27.75" customHeight="1" x14ac:dyDescent="0.15">
      <c r="A2" s="40" t="s">
        <v>45</v>
      </c>
      <c r="B2" s="39"/>
      <c r="C2" s="39"/>
      <c r="D2" s="39"/>
      <c r="E2" s="40">
        <v>28</v>
      </c>
      <c r="F2" s="40">
        <v>3</v>
      </c>
      <c r="G2" s="40">
        <v>11</v>
      </c>
    </row>
    <row r="3" spans="1:7" ht="27.75" customHeight="1" x14ac:dyDescent="0.15">
      <c r="A3" s="37"/>
      <c r="B3" s="37"/>
      <c r="C3" s="37"/>
      <c r="D3" s="37"/>
    </row>
    <row r="4" spans="1:7" ht="15" x14ac:dyDescent="0.2">
      <c r="A4" s="17" t="s">
        <v>37</v>
      </c>
      <c r="B4" s="17" t="s">
        <v>41</v>
      </c>
      <c r="C4" s="17" t="s">
        <v>36</v>
      </c>
      <c r="D4" s="17" t="s">
        <v>42</v>
      </c>
      <c r="E4" s="17" t="s">
        <v>43</v>
      </c>
      <c r="F4" s="17" t="s">
        <v>38</v>
      </c>
      <c r="G4" s="17" t="s">
        <v>39</v>
      </c>
    </row>
    <row r="5" spans="1:7" ht="15" x14ac:dyDescent="0.2">
      <c r="A5" s="18" t="s">
        <v>40</v>
      </c>
      <c r="B5" s="19">
        <v>5066000</v>
      </c>
      <c r="C5" s="20">
        <f>B5*A5</f>
        <v>5066000</v>
      </c>
      <c r="D5" s="19">
        <v>6000000</v>
      </c>
      <c r="E5" s="19">
        <f>D5*A5</f>
        <v>6000000</v>
      </c>
      <c r="F5" s="19">
        <f t="shared" ref="F5:F15" si="0">E5-C5</f>
        <v>934000</v>
      </c>
      <c r="G5" s="19">
        <f>F5/E5*100</f>
        <v>15.566666666666668</v>
      </c>
    </row>
    <row r="6" spans="1:7" ht="15" x14ac:dyDescent="0.2">
      <c r="A6" s="21">
        <v>2</v>
      </c>
      <c r="B6" s="22">
        <v>2778500</v>
      </c>
      <c r="C6" s="23">
        <f t="shared" ref="C6:C15" si="1">B6*A6</f>
        <v>5557000</v>
      </c>
      <c r="D6" s="22">
        <v>3200000</v>
      </c>
      <c r="E6" s="22">
        <f t="shared" ref="E6:E15" si="2">D6*A6</f>
        <v>6400000</v>
      </c>
      <c r="F6" s="22">
        <f t="shared" si="0"/>
        <v>843000</v>
      </c>
      <c r="G6" s="22">
        <f t="shared" ref="G6:G15" si="3">F6/E6*100</f>
        <v>13.171875</v>
      </c>
    </row>
    <row r="7" spans="1:7" ht="15" x14ac:dyDescent="0.2">
      <c r="A7" s="24">
        <v>3</v>
      </c>
      <c r="B7" s="25">
        <v>2497666.6666666665</v>
      </c>
      <c r="C7" s="25">
        <f t="shared" si="1"/>
        <v>7493000</v>
      </c>
      <c r="D7" s="26">
        <v>2750000</v>
      </c>
      <c r="E7" s="26">
        <f t="shared" si="2"/>
        <v>8250000</v>
      </c>
      <c r="F7" s="26">
        <f t="shared" si="0"/>
        <v>757000</v>
      </c>
      <c r="G7" s="26">
        <f t="shared" si="3"/>
        <v>9.1757575757575758</v>
      </c>
    </row>
    <row r="8" spans="1:7" ht="15" x14ac:dyDescent="0.2">
      <c r="A8" s="24">
        <v>4</v>
      </c>
      <c r="B8" s="25">
        <v>2408500</v>
      </c>
      <c r="C8" s="25">
        <f t="shared" si="1"/>
        <v>9634000</v>
      </c>
      <c r="D8" s="26">
        <v>2750000</v>
      </c>
      <c r="E8" s="26">
        <f t="shared" si="2"/>
        <v>11000000</v>
      </c>
      <c r="F8" s="26">
        <f t="shared" si="0"/>
        <v>1366000</v>
      </c>
      <c r="G8" s="26">
        <f t="shared" si="3"/>
        <v>12.418181818181818</v>
      </c>
    </row>
    <row r="9" spans="1:7" ht="15" x14ac:dyDescent="0.2">
      <c r="A9" s="30">
        <v>5</v>
      </c>
      <c r="B9" s="31">
        <v>2362000</v>
      </c>
      <c r="C9" s="31">
        <f t="shared" si="1"/>
        <v>11810000</v>
      </c>
      <c r="D9" s="32">
        <v>2600000</v>
      </c>
      <c r="E9" s="32">
        <f t="shared" si="2"/>
        <v>13000000</v>
      </c>
      <c r="F9" s="32">
        <f t="shared" si="0"/>
        <v>1190000</v>
      </c>
      <c r="G9" s="32">
        <f t="shared" si="3"/>
        <v>9.1538461538461533</v>
      </c>
    </row>
    <row r="10" spans="1:7" ht="15" x14ac:dyDescent="0.2">
      <c r="A10" s="30">
        <v>6</v>
      </c>
      <c r="B10" s="31">
        <v>2058500</v>
      </c>
      <c r="C10" s="31">
        <f t="shared" si="1"/>
        <v>12351000</v>
      </c>
      <c r="D10" s="32">
        <v>2600000</v>
      </c>
      <c r="E10" s="32">
        <f t="shared" si="2"/>
        <v>15600000</v>
      </c>
      <c r="F10" s="32">
        <f t="shared" si="0"/>
        <v>3249000</v>
      </c>
      <c r="G10" s="32">
        <f t="shared" si="3"/>
        <v>20.826923076923077</v>
      </c>
    </row>
    <row r="11" spans="1:7" ht="15" x14ac:dyDescent="0.2">
      <c r="A11" s="30">
        <v>7</v>
      </c>
      <c r="B11" s="31">
        <v>2003857.142857143</v>
      </c>
      <c r="C11" s="31">
        <f t="shared" si="1"/>
        <v>14027000</v>
      </c>
      <c r="D11" s="32">
        <v>2600000</v>
      </c>
      <c r="E11" s="32">
        <f t="shared" si="2"/>
        <v>18200000</v>
      </c>
      <c r="F11" s="32">
        <f t="shared" si="0"/>
        <v>4173000</v>
      </c>
      <c r="G11" s="32">
        <f t="shared" si="3"/>
        <v>22.928571428571427</v>
      </c>
    </row>
    <row r="12" spans="1:7" ht="15" x14ac:dyDescent="0.2">
      <c r="A12" s="33">
        <v>8</v>
      </c>
      <c r="B12" s="34">
        <v>1814750</v>
      </c>
      <c r="C12" s="35">
        <f t="shared" si="1"/>
        <v>14518000</v>
      </c>
      <c r="D12" s="36">
        <v>2400000</v>
      </c>
      <c r="E12" s="36">
        <f t="shared" si="2"/>
        <v>19200000</v>
      </c>
      <c r="F12" s="36">
        <f t="shared" si="0"/>
        <v>4682000</v>
      </c>
      <c r="G12" s="36">
        <f t="shared" si="3"/>
        <v>24.385416666666668</v>
      </c>
    </row>
    <row r="13" spans="1:7" ht="15" x14ac:dyDescent="0.2">
      <c r="A13" s="33">
        <v>9</v>
      </c>
      <c r="B13" s="35">
        <v>1860444.4444444445</v>
      </c>
      <c r="C13" s="35">
        <f t="shared" si="1"/>
        <v>16744000</v>
      </c>
      <c r="D13" s="36">
        <v>2400000</v>
      </c>
      <c r="E13" s="36">
        <f t="shared" si="2"/>
        <v>21600000</v>
      </c>
      <c r="F13" s="36">
        <f t="shared" si="0"/>
        <v>4856000</v>
      </c>
      <c r="G13" s="36">
        <f t="shared" si="3"/>
        <v>22.481481481481485</v>
      </c>
    </row>
    <row r="14" spans="1:7" ht="15" x14ac:dyDescent="0.2">
      <c r="A14" s="33">
        <v>10</v>
      </c>
      <c r="B14" s="35">
        <v>1947500</v>
      </c>
      <c r="C14" s="35">
        <f t="shared" si="1"/>
        <v>19475000</v>
      </c>
      <c r="D14" s="36">
        <v>2400000</v>
      </c>
      <c r="E14" s="36">
        <f t="shared" si="2"/>
        <v>24000000</v>
      </c>
      <c r="F14" s="36">
        <f t="shared" si="0"/>
        <v>4525000</v>
      </c>
      <c r="G14" s="36">
        <f t="shared" si="3"/>
        <v>18.854166666666668</v>
      </c>
    </row>
    <row r="15" spans="1:7" ht="15" x14ac:dyDescent="0.2">
      <c r="A15" s="27">
        <v>11</v>
      </c>
      <c r="B15" s="28">
        <v>1927363.6363636365</v>
      </c>
      <c r="C15" s="28">
        <f t="shared" si="1"/>
        <v>21201000</v>
      </c>
      <c r="D15" s="29">
        <v>2250000</v>
      </c>
      <c r="E15" s="29">
        <f t="shared" si="2"/>
        <v>24750000</v>
      </c>
      <c r="F15" s="29">
        <f t="shared" si="0"/>
        <v>3549000</v>
      </c>
      <c r="G15" s="29">
        <f t="shared" si="3"/>
        <v>14.33939393939394</v>
      </c>
    </row>
    <row r="16" spans="1:7" x14ac:dyDescent="0.15">
      <c r="A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Calculation</vt:lpstr>
      <vt:lpstr>WNI 1 pax</vt:lpstr>
      <vt:lpstr>WNI 2 pax</vt:lpstr>
      <vt:lpstr>WNI 3 pax</vt:lpstr>
      <vt:lpstr>WNI 4 pax</vt:lpstr>
      <vt:lpstr>WNI 5 pax</vt:lpstr>
      <vt:lpstr>Summary WNI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Java Volcano Rendezvous</cp:lastModifiedBy>
  <cp:revision/>
  <cp:lastPrinted>2024-04-25T14:49:36Z</cp:lastPrinted>
  <dcterms:created xsi:type="dcterms:W3CDTF">2023-11-29T03:56:29Z</dcterms:created>
  <dcterms:modified xsi:type="dcterms:W3CDTF">2025-10-15T10:15:39Z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