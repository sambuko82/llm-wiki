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lculation" sheetId="1" r:id="rId4"/>
    <sheet state="visible" name="Summary" sheetId="2" r:id="rId5"/>
    <sheet state="visible" name="1 Pax" sheetId="3" r:id="rId6"/>
    <sheet state="visible" name="2 Pax" sheetId="4" r:id="rId7"/>
    <sheet state="visible" name="3 Pax" sheetId="5" r:id="rId8"/>
    <sheet state="visible" name="4 Pax" sheetId="6" r:id="rId9"/>
    <sheet state="visible" name="5 Pax" sheetId="7" r:id="rId10"/>
    <sheet state="visible" name="6 Pax" sheetId="8" r:id="rId11"/>
    <sheet state="visible" name="7 Pax" sheetId="9" r:id="rId12"/>
    <sheet state="visible" name="8 Pax" sheetId="10" r:id="rId13"/>
    <sheet state="visible" name="9 Pax" sheetId="11" r:id="rId14"/>
    <sheet state="visible" name="10 Pax" sheetId="12" r:id="rId15"/>
    <sheet state="visible" name="11 Pax" sheetId="13" r:id="rId16"/>
  </sheets>
  <definedNames/>
  <calcPr/>
  <extLst>
    <ext uri="GoogleSheetsCustomDataVersion2">
      <go:sheetsCustomData xmlns:go="http://customooxmlschemas.google.com/" r:id="rId17" roundtripDataChecksum="sM8MvVtrPLxzBe9eF00dHmwWDYz6NGjBDrAmx/+0w04="/>
    </ext>
  </extLst>
</workbook>
</file>

<file path=xl/sharedStrings.xml><?xml version="1.0" encoding="utf-8"?>
<sst xmlns="http://schemas.openxmlformats.org/spreadsheetml/2006/main" count="1603" uniqueCount="1075">
  <si>
    <t>Package Name</t>
  </si>
  <si>
    <t>ID</t>
  </si>
  <si>
    <t>Duration (Days)</t>
  </si>
  <si>
    <t>No of Pax</t>
  </si>
  <si>
    <t>Java to Bali Adventure: 4D3N Bromo, Ijen &amp; Tumpak Sewu Highlights</t>
  </si>
  <si>
    <r>
      <rPr>
        <rFont val="Calibri"/>
        <b/>
        <color theme="1"/>
        <sz val="16.0"/>
      </rPr>
      <t>Description</t>
    </r>
  </si>
  <si>
    <r>
      <rPr>
        <rFont val="Calibri"/>
        <b/>
        <color theme="1"/>
        <sz val="16.0"/>
      </rPr>
      <t>Unit</t>
    </r>
  </si>
  <si>
    <r>
      <rPr>
        <rFont val="Calibri"/>
        <b/>
        <color theme="1"/>
        <sz val="16.0"/>
      </rPr>
      <t>Rate</t>
    </r>
  </si>
  <si>
    <t>Qty</t>
  </si>
  <si>
    <t>Total</t>
  </si>
  <si>
    <r>
      <rPr>
        <rFont val="Calibri"/>
        <b/>
        <color theme="1"/>
        <sz val="16.0"/>
      </rPr>
      <t>A. Accommodation</t>
    </r>
  </si>
  <si>
    <r>
      <rPr>
        <rFont val="Calibri"/>
        <b/>
        <color theme="1"/>
        <sz val="16.0"/>
        <u/>
      </rPr>
      <t>A1. Ijen</t>
    </r>
  </si>
  <si>
    <t>Riverside Homestay - Deluxe</t>
  </si>
  <si>
    <r>
      <rPr>
        <rFont val="Calibri"/>
        <color theme="1"/>
        <sz val="16.0"/>
      </rPr>
      <t>No</t>
    </r>
  </si>
  <si>
    <t>Riverside Homestay - Executive</t>
  </si>
  <si>
    <r>
      <rPr>
        <rFont val="Calibri"/>
        <color theme="1"/>
        <sz val="16.0"/>
      </rPr>
      <t>No</t>
    </r>
  </si>
  <si>
    <t>Riverside Homestay - Emerald</t>
  </si>
  <si>
    <r>
      <rPr>
        <rFont val="Calibri"/>
        <color theme="1"/>
        <sz val="16.0"/>
      </rPr>
      <t>No</t>
    </r>
  </si>
  <si>
    <t>Riverside Homestay - Platinum</t>
  </si>
  <si>
    <r>
      <rPr>
        <rFont val="Calibri"/>
        <color theme="1"/>
        <sz val="16.0"/>
      </rPr>
      <t>No</t>
    </r>
  </si>
  <si>
    <t>Riverside Homestay - Family</t>
  </si>
  <si>
    <r>
      <rPr>
        <rFont val="Calibri"/>
        <color theme="1"/>
        <sz val="16.0"/>
      </rPr>
      <t>No</t>
    </r>
  </si>
  <si>
    <r>
      <rPr>
        <rFont val="Calibri"/>
        <b/>
        <color theme="1"/>
        <sz val="16.0"/>
        <u/>
      </rPr>
      <t>A2. Bromo </t>
    </r>
  </si>
  <si>
    <t>Joglo Kecombrang - Deluxe</t>
  </si>
  <si>
    <r>
      <rPr>
        <rFont val="Calibri"/>
        <color theme="1"/>
        <sz val="16.0"/>
      </rPr>
      <t>No</t>
    </r>
  </si>
  <si>
    <t>Joglo Kecombrang - Family</t>
  </si>
  <si>
    <r>
      <rPr>
        <rFont val="Calibri"/>
        <color theme="1"/>
        <sz val="16.0"/>
      </rPr>
      <t>No</t>
    </r>
  </si>
  <si>
    <t>Joglo Kecombrang - Extra Bed</t>
  </si>
  <si>
    <r>
      <rPr>
        <rFont val="Calibri"/>
        <color theme="1"/>
        <sz val="16.0"/>
      </rPr>
      <t>No</t>
    </r>
  </si>
  <si>
    <r>
      <rPr>
        <rFont val="Calibri"/>
        <b/>
        <color theme="1"/>
        <sz val="16.0"/>
        <u/>
      </rPr>
      <t>A3. Lumajang / Malang / Jember</t>
    </r>
  </si>
  <si>
    <t>Artha Cottage - Deluxe</t>
  </si>
  <si>
    <r>
      <rPr>
        <rFont val="Calibri"/>
        <color theme="1"/>
        <sz val="16.0"/>
      </rPr>
      <t>No</t>
    </r>
  </si>
  <si>
    <t>Artha Cottage - Extra Bed</t>
  </si>
  <si>
    <r>
      <rPr>
        <rFont val="Calibri"/>
        <color theme="1"/>
        <sz val="16.0"/>
      </rPr>
      <t>No</t>
    </r>
  </si>
  <si>
    <t>Doho Homestay - Deluxe</t>
  </si>
  <si>
    <r>
      <rPr>
        <rFont val="Calibri"/>
        <color theme="1"/>
        <sz val="16.0"/>
      </rPr>
      <t>No</t>
    </r>
  </si>
  <si>
    <t>Doho Homestay - Executive</t>
  </si>
  <si>
    <r>
      <rPr>
        <rFont val="Calibri"/>
        <color theme="1"/>
        <sz val="16.0"/>
      </rPr>
      <t>No</t>
    </r>
  </si>
  <si>
    <r>
      <rPr>
        <rFont val="Calibri"/>
        <color theme="1"/>
        <sz val="16.0"/>
      </rPr>
      <t>Doho Homestay - Emerald</t>
    </r>
  </si>
  <si>
    <r>
      <rPr>
        <rFont val="Calibri"/>
        <color theme="1"/>
        <sz val="16.0"/>
      </rPr>
      <t>No</t>
    </r>
  </si>
  <si>
    <r>
      <rPr>
        <rFont val="Calibri"/>
        <color theme="1"/>
        <sz val="16.0"/>
      </rPr>
      <t>Doho Homestay - Platinum</t>
    </r>
  </si>
  <si>
    <r>
      <rPr>
        <rFont val="Calibri"/>
        <color theme="1"/>
        <sz val="16.0"/>
      </rPr>
      <t>No</t>
    </r>
  </si>
  <si>
    <r>
      <rPr>
        <rFont val="Calibri"/>
        <color theme="1"/>
        <sz val="16.0"/>
      </rPr>
      <t>Doho Homestay - Family</t>
    </r>
  </si>
  <si>
    <r>
      <rPr>
        <rFont val="Calibri"/>
        <color theme="1"/>
        <sz val="16.0"/>
      </rPr>
      <t>No</t>
    </r>
  </si>
  <si>
    <t>Whiz Prime Malang - Deluxe Weekday</t>
  </si>
  <si>
    <r>
      <rPr>
        <rFont val="Calibri"/>
        <color theme="1"/>
        <sz val="16.0"/>
      </rPr>
      <t>No</t>
    </r>
  </si>
  <si>
    <t>Whiz Prime Malang - Deluxe Weekend</t>
  </si>
  <si>
    <r>
      <rPr>
        <rFont val="Calibri"/>
        <color theme="1"/>
        <sz val="16.0"/>
      </rPr>
      <t>No</t>
    </r>
  </si>
  <si>
    <t>Whiz Prime Malang - Superior Weekday</t>
  </si>
  <si>
    <r>
      <rPr>
        <rFont val="Calibri"/>
        <color theme="1"/>
        <sz val="16.0"/>
      </rPr>
      <t>No</t>
    </r>
  </si>
  <si>
    <t>Whiz Prime Malang - Superior Weekend</t>
  </si>
  <si>
    <r>
      <rPr>
        <rFont val="Calibri"/>
        <color theme="1"/>
        <sz val="16.0"/>
      </rPr>
      <t>No</t>
    </r>
  </si>
  <si>
    <r>
      <rPr>
        <rFont val="Calibri"/>
        <b/>
        <color theme="1"/>
        <sz val="16.0"/>
      </rPr>
      <t>B. Activities</t>
    </r>
  </si>
  <si>
    <r>
      <rPr>
        <rFont val="Calibri"/>
        <b/>
        <color theme="1"/>
        <sz val="16.0"/>
        <u/>
      </rPr>
      <t>B1. Ijen</t>
    </r>
  </si>
  <si>
    <t>Ijen - Ticket</t>
  </si>
  <si>
    <r>
      <rPr>
        <rFont val="Calibri"/>
        <color theme="1"/>
        <sz val="16.0"/>
      </rPr>
      <t>Pax</t>
    </r>
  </si>
  <si>
    <r>
      <rPr>
        <rFont val="Calibri"/>
        <color theme="1"/>
        <sz val="16.0"/>
      </rPr>
      <t>Gas Mask</t>
    </r>
  </si>
  <si>
    <r>
      <rPr>
        <rFont val="Calibri"/>
        <color theme="1"/>
        <sz val="16.0"/>
      </rPr>
      <t>Pax</t>
    </r>
  </si>
  <si>
    <t>Coffee + Indo Mee</t>
  </si>
  <si>
    <r>
      <rPr>
        <rFont val="Calibri"/>
        <color theme="1"/>
        <sz val="16.0"/>
      </rPr>
      <t>Pax</t>
    </r>
  </si>
  <si>
    <t>Ijen Local Guide</t>
  </si>
  <si>
    <r>
      <rPr>
        <rFont val="Calibri"/>
        <color theme="1"/>
        <sz val="16.0"/>
      </rPr>
      <t>No</t>
    </r>
  </si>
  <si>
    <t>Riverside - Lunch</t>
  </si>
  <si>
    <r>
      <rPr>
        <rFont val="Calibri"/>
        <color theme="1"/>
        <sz val="16.0"/>
      </rPr>
      <t>Pax</t>
    </r>
  </si>
  <si>
    <t>Riverside - Dinner</t>
  </si>
  <si>
    <r>
      <rPr>
        <rFont val="Calibri"/>
        <color theme="1"/>
        <sz val="16.0"/>
      </rPr>
      <t>Pax</t>
    </r>
  </si>
  <si>
    <t>Baratha - Lunch</t>
  </si>
  <si>
    <r>
      <rPr>
        <rFont val="Calibri"/>
        <color theme="1"/>
        <sz val="16.0"/>
      </rPr>
      <t>Pax</t>
    </r>
  </si>
  <si>
    <t>Baratha - Dinner</t>
  </si>
  <si>
    <r>
      <rPr>
        <rFont val="Calibri"/>
        <color theme="1"/>
        <sz val="16.0"/>
      </rPr>
      <t>Pax</t>
    </r>
  </si>
  <si>
    <r>
      <rPr>
        <rFont val="Calibri"/>
        <color theme="1"/>
        <sz val="16.0"/>
      </rPr>
      <t>Ijen Certificate</t>
    </r>
  </si>
  <si>
    <r>
      <rPr>
        <rFont val="Calibri"/>
        <color theme="1"/>
        <sz val="16.0"/>
      </rPr>
      <t>No</t>
    </r>
  </si>
  <si>
    <r>
      <rPr>
        <rFont val="Calibri"/>
        <b/>
        <color theme="1"/>
        <sz val="16.0"/>
        <u/>
      </rPr>
      <t>B2. Bromo </t>
    </r>
  </si>
  <si>
    <t>Bromo - Ticket</t>
  </si>
  <si>
    <r>
      <rPr>
        <rFont val="Calibri"/>
        <color theme="1"/>
        <sz val="16.0"/>
      </rPr>
      <t>Pax</t>
    </r>
  </si>
  <si>
    <r>
      <rPr>
        <rFont val="Calibri"/>
        <color theme="1"/>
        <sz val="16.0"/>
      </rPr>
      <t>Bromo - Jeep</t>
    </r>
  </si>
  <si>
    <r>
      <rPr>
        <rFont val="Calibri"/>
        <color theme="1"/>
        <sz val="16.0"/>
      </rPr>
      <t>Pax</t>
    </r>
  </si>
  <si>
    <r>
      <rPr>
        <rFont val="Calibri"/>
        <b/>
        <color theme="1"/>
        <sz val="16.0"/>
        <u/>
      </rPr>
      <t>B4. Tumpak Sewu/ Kapas Biru/ Panorama/ Coban Sriti</t>
    </r>
  </si>
  <si>
    <r>
      <rPr>
        <rFont val="Calibri"/>
        <color theme="1"/>
        <sz val="16.0"/>
      </rPr>
      <t>Tumpak Sewu - Ticket</t>
    </r>
  </si>
  <si>
    <r>
      <rPr>
        <rFont val="Calibri"/>
        <color theme="1"/>
        <sz val="16.0"/>
      </rPr>
      <t>Pax</t>
    </r>
  </si>
  <si>
    <t>Tumpak Sewu Local Guide</t>
  </si>
  <si>
    <r>
      <rPr>
        <rFont val="Calibri"/>
        <color theme="1"/>
        <sz val="16.0"/>
      </rPr>
      <t>No</t>
    </r>
  </si>
  <si>
    <r>
      <rPr>
        <rFont val="Calibri"/>
        <color theme="1"/>
        <sz val="16.0"/>
      </rPr>
      <t>Yanto's lunch incl drinks</t>
    </r>
  </si>
  <si>
    <r>
      <rPr>
        <rFont val="Calibri"/>
        <color theme="1"/>
        <sz val="16.0"/>
      </rPr>
      <t>Pax</t>
    </r>
  </si>
  <si>
    <t>C. Transportation</t>
  </si>
  <si>
    <r>
      <rPr>
        <rFont val="Calibri"/>
        <b/>
        <color theme="1"/>
        <sz val="16.0"/>
        <u/>
      </rPr>
      <t>C1. Vehicle</t>
    </r>
  </si>
  <si>
    <r>
      <rPr>
        <rFont val="Calibri"/>
        <color theme="1"/>
        <sz val="16.0"/>
      </rPr>
      <t>Avanza</t>
    </r>
  </si>
  <si>
    <r>
      <rPr>
        <rFont val="Calibri"/>
        <color theme="1"/>
        <sz val="16.0"/>
      </rPr>
      <t>Day x Qty</t>
    </r>
  </si>
  <si>
    <r>
      <rPr>
        <rFont val="Calibri"/>
        <color theme="1"/>
        <sz val="16.0"/>
      </rPr>
      <t>Innova</t>
    </r>
  </si>
  <si>
    <r>
      <rPr>
        <rFont val="Calibri"/>
        <color theme="1"/>
        <sz val="16.0"/>
      </rPr>
      <t>Day x Qty</t>
    </r>
  </si>
  <si>
    <t>Toyota Hiace</t>
  </si>
  <si>
    <r>
      <rPr>
        <rFont val="Calibri"/>
        <color theme="1"/>
        <sz val="16.0"/>
      </rPr>
      <t>Day x Qty</t>
    </r>
  </si>
  <si>
    <r>
      <rPr>
        <rFont val="Calibri"/>
        <color theme="1"/>
        <sz val="16.0"/>
      </rPr>
      <t>Toyota Hiace Premio (4-6pax)</t>
    </r>
  </si>
  <si>
    <r>
      <rPr>
        <rFont val="Calibri"/>
        <color theme="1"/>
        <sz val="16.0"/>
      </rPr>
      <t>Day x Qty</t>
    </r>
  </si>
  <si>
    <t>Extra Luggage</t>
  </si>
  <si>
    <r>
      <rPr>
        <rFont val="Calibri"/>
        <color theme="1"/>
        <sz val="16.0"/>
      </rPr>
      <t>Day x Qty</t>
    </r>
  </si>
  <si>
    <r>
      <rPr>
        <rFont val="Calibri"/>
        <b/>
        <color theme="1"/>
        <sz val="16.0"/>
        <u/>
      </rPr>
      <t>C2. Parking and toll</t>
    </r>
  </si>
  <si>
    <r>
      <rPr>
        <rFont val="Calibri"/>
        <color theme="1"/>
        <sz val="16.0"/>
      </rPr>
      <t>Probolingo</t>
    </r>
  </si>
  <si>
    <r>
      <rPr>
        <rFont val="Calibri"/>
        <color theme="1"/>
        <sz val="16.0"/>
      </rPr>
      <t>No</t>
    </r>
  </si>
  <si>
    <t>Probolinggo + Malang</t>
  </si>
  <si>
    <r>
      <rPr>
        <rFont val="Calibri"/>
        <color theme="1"/>
        <sz val="16.0"/>
      </rPr>
      <t>No</t>
    </r>
  </si>
  <si>
    <r>
      <rPr>
        <rFont val="Calibri"/>
        <b/>
        <color theme="1"/>
        <sz val="16.0"/>
        <u/>
      </rPr>
      <t>C3. Shuttle service</t>
    </r>
  </si>
  <si>
    <r>
      <rPr>
        <rFont val="Calibri"/>
        <color theme="1"/>
        <sz val="16.0"/>
      </rPr>
      <t>Every 3 pax</t>
    </r>
  </si>
  <si>
    <r>
      <rPr>
        <rFont val="Calibri"/>
        <color theme="1"/>
        <sz val="16.0"/>
      </rPr>
      <t>Trip</t>
    </r>
  </si>
  <si>
    <t>C4. Transport Bali</t>
  </si>
  <si>
    <t>Transport Bali</t>
  </si>
  <si>
    <r>
      <rPr>
        <rFont val="Calibri"/>
        <color theme="1"/>
        <sz val="16.0"/>
      </rPr>
      <t>Trip</t>
    </r>
  </si>
  <si>
    <t>D. Crews</t>
  </si>
  <si>
    <r>
      <rPr>
        <rFont val="Calibri"/>
        <b/>
        <color theme="1"/>
        <sz val="16.0"/>
        <u/>
      </rPr>
      <t>D1. In house</t>
    </r>
  </si>
  <si>
    <r>
      <rPr>
        <rFont val="Calibri"/>
        <color theme="1"/>
        <sz val="16.0"/>
      </rPr>
      <t>Driver cum guide</t>
    </r>
  </si>
  <si>
    <r>
      <rPr>
        <rFont val="Calibri"/>
        <color theme="1"/>
        <sz val="16.0"/>
      </rPr>
      <t>Day x Qty</t>
    </r>
  </si>
  <si>
    <t>Escort Guide</t>
  </si>
  <si>
    <r>
      <rPr>
        <rFont val="Calibri"/>
        <color theme="1"/>
        <sz val="16.0"/>
      </rPr>
      <t>Day x Qty</t>
    </r>
  </si>
  <si>
    <t>Driver Only</t>
  </si>
  <si>
    <r>
      <rPr>
        <rFont val="Calibri"/>
        <color theme="1"/>
        <sz val="16.0"/>
      </rPr>
      <t>Day x Qty</t>
    </r>
  </si>
  <si>
    <t>E. Others</t>
  </si>
  <si>
    <r>
      <rPr>
        <rFont val="Calibri"/>
        <b/>
        <color theme="1"/>
        <sz val="16.0"/>
        <u/>
      </rPr>
      <t>E1. Miscelleneous</t>
    </r>
  </si>
  <si>
    <r>
      <rPr>
        <rFont val="Calibri"/>
        <color theme="1"/>
        <sz val="16.0"/>
      </rPr>
      <t>Mineral Water</t>
    </r>
  </si>
  <si>
    <t>Karton</t>
  </si>
  <si>
    <t>Transport allowance</t>
  </si>
  <si>
    <t>Day x Qty</t>
  </si>
  <si>
    <r>
      <rPr>
        <rFont val="Calibri"/>
        <color theme="1"/>
        <sz val="16.0"/>
      </rPr>
      <t>T Shirt</t>
    </r>
  </si>
  <si>
    <r>
      <rPr>
        <rFont val="Calibri"/>
        <color theme="1"/>
        <sz val="16.0"/>
      </rPr>
      <t>Pax</t>
    </r>
  </si>
  <si>
    <r>
      <rPr>
        <rFont val="Calibri"/>
        <b/>
        <color theme="1"/>
        <sz val="16.0"/>
        <u/>
      </rPr>
      <t>E2. Police Escort</t>
    </r>
  </si>
  <si>
    <r>
      <rPr>
        <rFont val="Calibri"/>
        <color theme="1"/>
        <sz val="16.0"/>
      </rPr>
      <t>Probolingo &lt;-&gt; Bondowoso / Pasir Putih</t>
    </r>
  </si>
  <si>
    <r>
      <rPr>
        <rFont val="Calibri"/>
        <color theme="1"/>
        <sz val="16.0"/>
      </rPr>
      <t>Trip</t>
    </r>
  </si>
  <si>
    <r>
      <rPr>
        <rFont val="Calibri"/>
        <b/>
        <color theme="1"/>
        <sz val="16.0"/>
        <u/>
      </rPr>
      <t>E3. Bali Transfer</t>
    </r>
  </si>
  <si>
    <r>
      <rPr>
        <rFont val="Calibri"/>
        <color theme="1"/>
        <sz val="16.0"/>
      </rPr>
      <t>Ferry tickets (1-way)</t>
    </r>
  </si>
  <si>
    <r>
      <rPr>
        <rFont val="Calibri"/>
        <color theme="1"/>
        <sz val="16.0"/>
      </rPr>
      <t>Pax</t>
    </r>
  </si>
  <si>
    <t>Ferry - Guide</t>
  </si>
  <si>
    <r>
      <rPr>
        <rFont val="Calibri"/>
        <color theme="1"/>
        <sz val="16.0"/>
      </rPr>
      <t>No</t>
    </r>
  </si>
  <si>
    <t>Total Expense</t>
  </si>
  <si>
    <t>Expense / Pax</t>
  </si>
  <si>
    <t>Pax</t>
  </si>
  <si>
    <t>Harga / Pax</t>
  </si>
  <si>
    <t>Total Harga</t>
  </si>
  <si>
    <t>Margin</t>
  </si>
  <si>
    <t>Presentase Margin</t>
  </si>
  <si>
    <r>
      <rPr>
        <rFont val="Calibri"/>
        <b/>
        <color theme="1"/>
        <sz val="16.0"/>
      </rPr>
      <t>Description</t>
    </r>
  </si>
  <si>
    <r>
      <rPr>
        <rFont val="Calibri"/>
        <b/>
        <color theme="1"/>
        <sz val="16.0"/>
      </rPr>
      <t>Unit</t>
    </r>
  </si>
  <si>
    <r>
      <rPr>
        <rFont val="Calibri"/>
        <b/>
        <color theme="1"/>
        <sz val="16.0"/>
      </rPr>
      <t>Rate</t>
    </r>
  </si>
  <si>
    <r>
      <rPr>
        <rFont val="Calibri"/>
        <b/>
        <color theme="1"/>
        <sz val="16.0"/>
      </rPr>
      <t>A. Accommodation</t>
    </r>
  </si>
  <si>
    <r>
      <rPr>
        <rFont val="Calibri"/>
        <b/>
        <color theme="1"/>
        <sz val="16.0"/>
        <u/>
      </rPr>
      <t>A1. Ijen</t>
    </r>
  </si>
  <si>
    <r>
      <rPr>
        <rFont val="Calibri"/>
        <color theme="1"/>
        <sz val="16.0"/>
      </rPr>
      <t>No</t>
    </r>
  </si>
  <si>
    <r>
      <rPr>
        <rFont val="Calibri"/>
        <color theme="1"/>
        <sz val="16.0"/>
      </rPr>
      <t>No</t>
    </r>
  </si>
  <si>
    <r>
      <rPr>
        <rFont val="Calibri"/>
        <color theme="1"/>
        <sz val="16.0"/>
      </rPr>
      <t>No</t>
    </r>
  </si>
  <si>
    <r>
      <rPr>
        <rFont val="Calibri"/>
        <color theme="1"/>
        <sz val="16.0"/>
      </rPr>
      <t>No</t>
    </r>
  </si>
  <si>
    <r>
      <rPr>
        <rFont val="Calibri"/>
        <color theme="1"/>
        <sz val="16.0"/>
      </rPr>
      <t>No</t>
    </r>
  </si>
  <si>
    <r>
      <rPr>
        <rFont val="Calibri"/>
        <b/>
        <color theme="1"/>
        <sz val="16.0"/>
        <u/>
      </rPr>
      <t>A2. Bromo </t>
    </r>
  </si>
  <si>
    <r>
      <rPr>
        <rFont val="Calibri"/>
        <color theme="1"/>
        <sz val="16.0"/>
      </rPr>
      <t>No</t>
    </r>
  </si>
  <si>
    <r>
      <rPr>
        <rFont val="Calibri"/>
        <color theme="1"/>
        <sz val="16.0"/>
      </rPr>
      <t>No</t>
    </r>
  </si>
  <si>
    <r>
      <rPr>
        <rFont val="Calibri"/>
        <color theme="1"/>
        <sz val="16.0"/>
      </rPr>
      <t>No</t>
    </r>
  </si>
  <si>
    <r>
      <rPr>
        <rFont val="Calibri"/>
        <b/>
        <color theme="1"/>
        <sz val="16.0"/>
        <u/>
      </rPr>
      <t>A3. Lumajang / Malang / Jember</t>
    </r>
  </si>
  <si>
    <r>
      <rPr>
        <rFont val="Calibri"/>
        <color theme="1"/>
        <sz val="16.0"/>
      </rPr>
      <t>No</t>
    </r>
  </si>
  <si>
    <r>
      <rPr>
        <rFont val="Calibri"/>
        <color theme="1"/>
        <sz val="16.0"/>
      </rPr>
      <t>No</t>
    </r>
  </si>
  <si>
    <r>
      <rPr>
        <rFont val="Calibri"/>
        <color theme="1"/>
        <sz val="16.0"/>
      </rPr>
      <t>No</t>
    </r>
  </si>
  <si>
    <r>
      <rPr>
        <rFont val="Calibri"/>
        <color theme="1"/>
        <sz val="16.0"/>
      </rPr>
      <t>No</t>
    </r>
  </si>
  <si>
    <r>
      <rPr>
        <rFont val="Calibri"/>
        <color theme="1"/>
        <sz val="16.0"/>
      </rPr>
      <t>Doho Homestay - Emerald</t>
    </r>
  </si>
  <si>
    <r>
      <rPr>
        <rFont val="Calibri"/>
        <color theme="1"/>
        <sz val="16.0"/>
      </rPr>
      <t>No</t>
    </r>
  </si>
  <si>
    <r>
      <rPr>
        <rFont val="Calibri"/>
        <color theme="1"/>
        <sz val="16.0"/>
      </rPr>
      <t>Doho Homestay - Platinum</t>
    </r>
  </si>
  <si>
    <r>
      <rPr>
        <rFont val="Calibri"/>
        <color theme="1"/>
        <sz val="16.0"/>
      </rPr>
      <t>No</t>
    </r>
  </si>
  <si>
    <r>
      <rPr>
        <rFont val="Calibri"/>
        <color theme="1"/>
        <sz val="16.0"/>
      </rPr>
      <t>Doho Homestay - Family</t>
    </r>
  </si>
  <si>
    <r>
      <rPr>
        <rFont val="Calibri"/>
        <color theme="1"/>
        <sz val="16.0"/>
      </rPr>
      <t>No</t>
    </r>
  </si>
  <si>
    <r>
      <rPr>
        <rFont val="Calibri"/>
        <color theme="1"/>
        <sz val="16.0"/>
      </rPr>
      <t>No</t>
    </r>
  </si>
  <si>
    <r>
      <rPr>
        <rFont val="Calibri"/>
        <color theme="1"/>
        <sz val="16.0"/>
      </rPr>
      <t>No</t>
    </r>
  </si>
  <si>
    <r>
      <rPr>
        <rFont val="Calibri"/>
        <color theme="1"/>
        <sz val="16.0"/>
      </rPr>
      <t>No</t>
    </r>
  </si>
  <si>
    <r>
      <rPr>
        <rFont val="Calibri"/>
        <color theme="1"/>
        <sz val="16.0"/>
      </rPr>
      <t>No</t>
    </r>
  </si>
  <si>
    <r>
      <rPr>
        <rFont val="Calibri"/>
        <b/>
        <color theme="1"/>
        <sz val="16.0"/>
      </rPr>
      <t>B. Activities</t>
    </r>
  </si>
  <si>
    <r>
      <rPr>
        <rFont val="Calibri"/>
        <b/>
        <color theme="1"/>
        <sz val="16.0"/>
        <u/>
      </rPr>
      <t>B1. Ijen</t>
    </r>
  </si>
  <si>
    <r>
      <rPr>
        <rFont val="Calibri"/>
        <color theme="1"/>
        <sz val="16.0"/>
      </rPr>
      <t>Pax</t>
    </r>
  </si>
  <si>
    <r>
      <rPr>
        <rFont val="Calibri"/>
        <color theme="1"/>
        <sz val="16.0"/>
      </rPr>
      <t>Gas Mask</t>
    </r>
  </si>
  <si>
    <r>
      <rPr>
        <rFont val="Calibri"/>
        <color theme="1"/>
        <sz val="16.0"/>
      </rPr>
      <t>Pax</t>
    </r>
  </si>
  <si>
    <r>
      <rPr>
        <rFont val="Calibri"/>
        <color theme="1"/>
        <sz val="16.0"/>
      </rPr>
      <t>Pax</t>
    </r>
  </si>
  <si>
    <r>
      <rPr>
        <rFont val="Calibri"/>
        <color theme="1"/>
        <sz val="16.0"/>
      </rPr>
      <t>No</t>
    </r>
  </si>
  <si>
    <r>
      <rPr>
        <rFont val="Calibri"/>
        <color theme="1"/>
        <sz val="16.0"/>
      </rPr>
      <t>Pax</t>
    </r>
  </si>
  <si>
    <r>
      <rPr>
        <rFont val="Calibri"/>
        <color theme="1"/>
        <sz val="16.0"/>
      </rPr>
      <t>Pax</t>
    </r>
  </si>
  <si>
    <r>
      <rPr>
        <rFont val="Calibri"/>
        <color theme="1"/>
        <sz val="16.0"/>
      </rPr>
      <t>Pax</t>
    </r>
  </si>
  <si>
    <r>
      <rPr>
        <rFont val="Calibri"/>
        <color theme="1"/>
        <sz val="16.0"/>
      </rPr>
      <t>Pax</t>
    </r>
  </si>
  <si>
    <r>
      <rPr>
        <rFont val="Calibri"/>
        <color theme="1"/>
        <sz val="16.0"/>
      </rPr>
      <t>Ijen Certificate</t>
    </r>
  </si>
  <si>
    <r>
      <rPr>
        <rFont val="Calibri"/>
        <color theme="1"/>
        <sz val="16.0"/>
      </rPr>
      <t>No</t>
    </r>
  </si>
  <si>
    <r>
      <rPr>
        <rFont val="Calibri"/>
        <b/>
        <color theme="1"/>
        <sz val="16.0"/>
        <u/>
      </rPr>
      <t>B2. Bromo </t>
    </r>
  </si>
  <si>
    <r>
      <rPr>
        <rFont val="Calibri"/>
        <color theme="1"/>
        <sz val="16.0"/>
      </rPr>
      <t>Pax</t>
    </r>
  </si>
  <si>
    <r>
      <rPr>
        <rFont val="Calibri"/>
        <color theme="1"/>
        <sz val="16.0"/>
      </rPr>
      <t>Bromo - Jeep</t>
    </r>
  </si>
  <si>
    <r>
      <rPr>
        <rFont val="Calibri"/>
        <color theme="1"/>
        <sz val="16.0"/>
      </rPr>
      <t>Pax</t>
    </r>
  </si>
  <si>
    <r>
      <rPr>
        <rFont val="Calibri"/>
        <b/>
        <color theme="1"/>
        <sz val="16.0"/>
        <u/>
      </rPr>
      <t>B4. Tumpak Sewu/ Kapas Biru/ Panorama/ Coban Sriti</t>
    </r>
  </si>
  <si>
    <r>
      <rPr>
        <rFont val="Calibri"/>
        <color theme="1"/>
        <sz val="16.0"/>
      </rPr>
      <t>Tumpak Sewu - Ticket</t>
    </r>
  </si>
  <si>
    <r>
      <rPr>
        <rFont val="Calibri"/>
        <color theme="1"/>
        <sz val="16.0"/>
      </rPr>
      <t>Pax</t>
    </r>
  </si>
  <si>
    <r>
      <rPr>
        <rFont val="Calibri"/>
        <color theme="1"/>
        <sz val="16.0"/>
      </rPr>
      <t>No</t>
    </r>
  </si>
  <si>
    <r>
      <rPr>
        <rFont val="Calibri"/>
        <color theme="1"/>
        <sz val="16.0"/>
      </rPr>
      <t>Yanto's lunch incl drinks</t>
    </r>
  </si>
  <si>
    <r>
      <rPr>
        <rFont val="Calibri"/>
        <color theme="1"/>
        <sz val="16.0"/>
      </rPr>
      <t>Pax</t>
    </r>
  </si>
  <si>
    <r>
      <rPr>
        <rFont val="Calibri"/>
        <b/>
        <color theme="1"/>
        <sz val="16.0"/>
        <u/>
      </rPr>
      <t>C1. Vehicle</t>
    </r>
  </si>
  <si>
    <r>
      <rPr>
        <rFont val="Calibri"/>
        <color theme="1"/>
        <sz val="16.0"/>
      </rPr>
      <t>Avanza</t>
    </r>
  </si>
  <si>
    <r>
      <rPr>
        <rFont val="Calibri"/>
        <color theme="1"/>
        <sz val="16.0"/>
      </rPr>
      <t>Day x Qty</t>
    </r>
  </si>
  <si>
    <r>
      <rPr>
        <rFont val="Calibri"/>
        <color theme="1"/>
        <sz val="16.0"/>
      </rPr>
      <t>Innova</t>
    </r>
  </si>
  <si>
    <r>
      <rPr>
        <rFont val="Calibri"/>
        <color theme="1"/>
        <sz val="16.0"/>
      </rPr>
      <t>Day x Qty</t>
    </r>
  </si>
  <si>
    <r>
      <rPr>
        <rFont val="Calibri"/>
        <color theme="1"/>
        <sz val="16.0"/>
      </rPr>
      <t>Day x Qty</t>
    </r>
  </si>
  <si>
    <r>
      <rPr>
        <rFont val="Calibri"/>
        <color theme="1"/>
        <sz val="16.0"/>
      </rPr>
      <t>Toyota Hiace Premio (4-6pax)</t>
    </r>
  </si>
  <si>
    <r>
      <rPr>
        <rFont val="Calibri"/>
        <color theme="1"/>
        <sz val="16.0"/>
      </rPr>
      <t>Day x Qty</t>
    </r>
  </si>
  <si>
    <r>
      <rPr>
        <rFont val="Calibri"/>
        <color theme="1"/>
        <sz val="16.0"/>
      </rPr>
      <t>Day x Qty</t>
    </r>
  </si>
  <si>
    <r>
      <rPr>
        <rFont val="Calibri"/>
        <b/>
        <color theme="1"/>
        <sz val="16.0"/>
        <u/>
      </rPr>
      <t>C2. Parking and toll</t>
    </r>
  </si>
  <si>
    <r>
      <rPr>
        <rFont val="Calibri"/>
        <color theme="1"/>
        <sz val="16.0"/>
      </rPr>
      <t>Probolingo</t>
    </r>
  </si>
  <si>
    <r>
      <rPr>
        <rFont val="Calibri"/>
        <color theme="1"/>
        <sz val="16.0"/>
      </rPr>
      <t>No</t>
    </r>
  </si>
  <si>
    <r>
      <rPr>
        <rFont val="Calibri"/>
        <color theme="1"/>
        <sz val="16.0"/>
      </rPr>
      <t>No</t>
    </r>
  </si>
  <si>
    <r>
      <rPr>
        <rFont val="Calibri"/>
        <b/>
        <color theme="1"/>
        <sz val="16.0"/>
        <u/>
      </rPr>
      <t>C3. Shuttle service</t>
    </r>
  </si>
  <si>
    <r>
      <rPr>
        <rFont val="Calibri"/>
        <color theme="1"/>
        <sz val="16.0"/>
      </rPr>
      <t>Every 3 pax</t>
    </r>
  </si>
  <si>
    <r>
      <rPr>
        <rFont val="Calibri"/>
        <color theme="1"/>
        <sz val="16.0"/>
      </rPr>
      <t>Trip</t>
    </r>
  </si>
  <si>
    <r>
      <rPr>
        <rFont val="Calibri"/>
        <color theme="1"/>
        <sz val="16.0"/>
      </rPr>
      <t>Trip</t>
    </r>
  </si>
  <si>
    <r>
      <rPr>
        <rFont val="Calibri"/>
        <b/>
        <color theme="1"/>
        <sz val="16.0"/>
        <u/>
      </rPr>
      <t>D1. In house</t>
    </r>
  </si>
  <si>
    <r>
      <rPr>
        <rFont val="Calibri"/>
        <color theme="1"/>
        <sz val="16.0"/>
      </rPr>
      <t>Driver cum guide</t>
    </r>
  </si>
  <si>
    <r>
      <rPr>
        <rFont val="Calibri"/>
        <color theme="1"/>
        <sz val="16.0"/>
      </rPr>
      <t>Day x Qty</t>
    </r>
  </si>
  <si>
    <r>
      <rPr>
        <rFont val="Calibri"/>
        <color theme="1"/>
        <sz val="16.0"/>
      </rPr>
      <t>Day x Qty</t>
    </r>
  </si>
  <si>
    <r>
      <rPr>
        <rFont val="Calibri"/>
        <color theme="1"/>
        <sz val="16.0"/>
      </rPr>
      <t>Day x Qty</t>
    </r>
  </si>
  <si>
    <r>
      <rPr>
        <rFont val="Calibri"/>
        <b/>
        <color theme="1"/>
        <sz val="16.0"/>
        <u/>
      </rPr>
      <t>E1. Miscelleneous</t>
    </r>
  </si>
  <si>
    <r>
      <rPr>
        <rFont val="Calibri"/>
        <color theme="1"/>
        <sz val="16.0"/>
      </rPr>
      <t>Mineral Water</t>
    </r>
  </si>
  <si>
    <r>
      <rPr>
        <rFont val="Calibri"/>
        <color theme="1"/>
        <sz val="16.0"/>
      </rPr>
      <t>T Shirt</t>
    </r>
  </si>
  <si>
    <r>
      <rPr>
        <rFont val="Calibri"/>
        <color theme="1"/>
        <sz val="16.0"/>
      </rPr>
      <t>Pax</t>
    </r>
  </si>
  <si>
    <r>
      <rPr>
        <rFont val="Calibri"/>
        <b/>
        <color theme="1"/>
        <sz val="16.0"/>
        <u/>
      </rPr>
      <t>E2. Police Escort</t>
    </r>
  </si>
  <si>
    <r>
      <rPr>
        <rFont val="Calibri"/>
        <color theme="1"/>
        <sz val="16.0"/>
      </rPr>
      <t>Probolingo &lt;-&gt; Bondowoso / Pasir Putih</t>
    </r>
  </si>
  <si>
    <r>
      <rPr>
        <rFont val="Calibri"/>
        <color theme="1"/>
        <sz val="16.0"/>
      </rPr>
      <t>Trip</t>
    </r>
  </si>
  <si>
    <r>
      <rPr>
        <rFont val="Calibri"/>
        <b/>
        <color theme="1"/>
        <sz val="16.0"/>
        <u/>
      </rPr>
      <t>E3. Bali Transfer</t>
    </r>
  </si>
  <si>
    <r>
      <rPr>
        <rFont val="Calibri"/>
        <color theme="1"/>
        <sz val="16.0"/>
      </rPr>
      <t>Ferry tickets (1-way)</t>
    </r>
  </si>
  <si>
    <r>
      <rPr>
        <rFont val="Calibri"/>
        <color theme="1"/>
        <sz val="16.0"/>
      </rPr>
      <t>Pax</t>
    </r>
  </si>
  <si>
    <r>
      <rPr>
        <rFont val="Calibri"/>
        <color theme="1"/>
        <sz val="16.0"/>
      </rPr>
      <t>No</t>
    </r>
  </si>
  <si>
    <r>
      <rPr>
        <rFont val="Calibri"/>
        <b/>
        <color theme="1"/>
        <sz val="16.0"/>
      </rPr>
      <t>Description</t>
    </r>
  </si>
  <si>
    <r>
      <rPr>
        <rFont val="Calibri"/>
        <b/>
        <color theme="1"/>
        <sz val="16.0"/>
      </rPr>
      <t>Unit</t>
    </r>
  </si>
  <si>
    <r>
      <rPr>
        <rFont val="Calibri"/>
        <b/>
        <color theme="1"/>
        <sz val="16.0"/>
      </rPr>
      <t>Rate</t>
    </r>
  </si>
  <si>
    <r>
      <rPr>
        <rFont val="Calibri"/>
        <b/>
        <color theme="1"/>
        <sz val="16.0"/>
      </rPr>
      <t>A. Accommodation</t>
    </r>
  </si>
  <si>
    <r>
      <rPr>
        <rFont val="Calibri"/>
        <b/>
        <color theme="1"/>
        <sz val="16.0"/>
        <u/>
      </rPr>
      <t>A1. Ijen</t>
    </r>
  </si>
  <si>
    <r>
      <rPr>
        <rFont val="Calibri"/>
        <color theme="1"/>
        <sz val="16.0"/>
      </rPr>
      <t>No</t>
    </r>
  </si>
  <si>
    <r>
      <rPr>
        <rFont val="Calibri"/>
        <color theme="1"/>
        <sz val="16.0"/>
      </rPr>
      <t>No</t>
    </r>
  </si>
  <si>
    <r>
      <rPr>
        <rFont val="Calibri"/>
        <color theme="1"/>
        <sz val="16.0"/>
      </rPr>
      <t>No</t>
    </r>
  </si>
  <si>
    <r>
      <rPr>
        <rFont val="Calibri"/>
        <color theme="1"/>
        <sz val="16.0"/>
      </rPr>
      <t>No</t>
    </r>
  </si>
  <si>
    <r>
      <rPr>
        <rFont val="Calibri"/>
        <color theme="1"/>
        <sz val="16.0"/>
      </rPr>
      <t>No</t>
    </r>
  </si>
  <si>
    <r>
      <rPr>
        <rFont val="Calibri"/>
        <b/>
        <color theme="1"/>
        <sz val="16.0"/>
        <u/>
      </rPr>
      <t>A2. Bromo </t>
    </r>
  </si>
  <si>
    <r>
      <rPr>
        <rFont val="Calibri"/>
        <color theme="1"/>
        <sz val="16.0"/>
      </rPr>
      <t>No</t>
    </r>
  </si>
  <si>
    <r>
      <rPr>
        <rFont val="Calibri"/>
        <color theme="1"/>
        <sz val="16.0"/>
      </rPr>
      <t>No</t>
    </r>
  </si>
  <si>
    <r>
      <rPr>
        <rFont val="Calibri"/>
        <color theme="1"/>
        <sz val="16.0"/>
      </rPr>
      <t>No</t>
    </r>
  </si>
  <si>
    <r>
      <rPr>
        <rFont val="Calibri"/>
        <b/>
        <color theme="1"/>
        <sz val="16.0"/>
        <u/>
      </rPr>
      <t>A3. Lumajang / Malang / Jember</t>
    </r>
  </si>
  <si>
    <r>
      <rPr>
        <rFont val="Calibri"/>
        <color theme="1"/>
        <sz val="16.0"/>
      </rPr>
      <t>No</t>
    </r>
  </si>
  <si>
    <r>
      <rPr>
        <rFont val="Calibri"/>
        <color theme="1"/>
        <sz val="16.0"/>
      </rPr>
      <t>No</t>
    </r>
  </si>
  <si>
    <r>
      <rPr>
        <rFont val="Calibri"/>
        <color theme="1"/>
        <sz val="16.0"/>
      </rPr>
      <t>No</t>
    </r>
  </si>
  <si>
    <r>
      <rPr>
        <rFont val="Calibri"/>
        <color theme="1"/>
        <sz val="16.0"/>
      </rPr>
      <t>No</t>
    </r>
  </si>
  <si>
    <r>
      <rPr>
        <rFont val="Calibri"/>
        <color theme="1"/>
        <sz val="16.0"/>
      </rPr>
      <t>Doho Homestay - Emerald</t>
    </r>
  </si>
  <si>
    <r>
      <rPr>
        <rFont val="Calibri"/>
        <color theme="1"/>
        <sz val="16.0"/>
      </rPr>
      <t>No</t>
    </r>
  </si>
  <si>
    <r>
      <rPr>
        <rFont val="Calibri"/>
        <color theme="1"/>
        <sz val="16.0"/>
      </rPr>
      <t>Doho Homestay - Platinum</t>
    </r>
  </si>
  <si>
    <r>
      <rPr>
        <rFont val="Calibri"/>
        <color theme="1"/>
        <sz val="16.0"/>
      </rPr>
      <t>No</t>
    </r>
  </si>
  <si>
    <r>
      <rPr>
        <rFont val="Calibri"/>
        <color theme="1"/>
        <sz val="16.0"/>
      </rPr>
      <t>Doho Homestay - Family</t>
    </r>
  </si>
  <si>
    <r>
      <rPr>
        <rFont val="Calibri"/>
        <color theme="1"/>
        <sz val="16.0"/>
      </rPr>
      <t>No</t>
    </r>
  </si>
  <si>
    <r>
      <rPr>
        <rFont val="Calibri"/>
        <color theme="1"/>
        <sz val="16.0"/>
      </rPr>
      <t>No</t>
    </r>
  </si>
  <si>
    <r>
      <rPr>
        <rFont val="Calibri"/>
        <color theme="1"/>
        <sz val="16.0"/>
      </rPr>
      <t>No</t>
    </r>
  </si>
  <si>
    <r>
      <rPr>
        <rFont val="Calibri"/>
        <color theme="1"/>
        <sz val="16.0"/>
      </rPr>
      <t>No</t>
    </r>
  </si>
  <si>
    <r>
      <rPr>
        <rFont val="Calibri"/>
        <color theme="1"/>
        <sz val="16.0"/>
      </rPr>
      <t>No</t>
    </r>
  </si>
  <si>
    <r>
      <rPr>
        <rFont val="Calibri"/>
        <b/>
        <color theme="1"/>
        <sz val="16.0"/>
      </rPr>
      <t>B. Activities</t>
    </r>
  </si>
  <si>
    <r>
      <rPr>
        <rFont val="Calibri"/>
        <b/>
        <color theme="1"/>
        <sz val="16.0"/>
        <u/>
      </rPr>
      <t>B1. Ijen</t>
    </r>
  </si>
  <si>
    <r>
      <rPr>
        <rFont val="Calibri"/>
        <color theme="1"/>
        <sz val="16.0"/>
      </rPr>
      <t>Pax</t>
    </r>
  </si>
  <si>
    <r>
      <rPr>
        <rFont val="Calibri"/>
        <color theme="1"/>
        <sz val="16.0"/>
      </rPr>
      <t>Gas Mask</t>
    </r>
  </si>
  <si>
    <r>
      <rPr>
        <rFont val="Calibri"/>
        <color theme="1"/>
        <sz val="16.0"/>
      </rPr>
      <t>Pax</t>
    </r>
  </si>
  <si>
    <r>
      <rPr>
        <rFont val="Calibri"/>
        <color theme="1"/>
        <sz val="16.0"/>
      </rPr>
      <t>Pax</t>
    </r>
  </si>
  <si>
    <r>
      <rPr>
        <rFont val="Calibri"/>
        <color theme="1"/>
        <sz val="16.0"/>
      </rPr>
      <t>No</t>
    </r>
  </si>
  <si>
    <r>
      <rPr>
        <rFont val="Calibri"/>
        <color theme="1"/>
        <sz val="16.0"/>
      </rPr>
      <t>Pax</t>
    </r>
  </si>
  <si>
    <r>
      <rPr>
        <rFont val="Calibri"/>
        <color theme="1"/>
        <sz val="16.0"/>
      </rPr>
      <t>Pax</t>
    </r>
  </si>
  <si>
    <r>
      <rPr>
        <rFont val="Calibri"/>
        <color theme="1"/>
        <sz val="16.0"/>
      </rPr>
      <t>Pax</t>
    </r>
  </si>
  <si>
    <r>
      <rPr>
        <rFont val="Calibri"/>
        <color theme="1"/>
        <sz val="16.0"/>
      </rPr>
      <t>Pax</t>
    </r>
  </si>
  <si>
    <r>
      <rPr>
        <rFont val="Calibri"/>
        <color theme="1"/>
        <sz val="16.0"/>
      </rPr>
      <t>Ijen Certificate</t>
    </r>
  </si>
  <si>
    <r>
      <rPr>
        <rFont val="Calibri"/>
        <color theme="1"/>
        <sz val="16.0"/>
      </rPr>
      <t>No</t>
    </r>
  </si>
  <si>
    <r>
      <rPr>
        <rFont val="Calibri"/>
        <b/>
        <color theme="1"/>
        <sz val="16.0"/>
        <u/>
      </rPr>
      <t>B2. Bromo </t>
    </r>
  </si>
  <si>
    <r>
      <rPr>
        <rFont val="Calibri"/>
        <color theme="1"/>
        <sz val="16.0"/>
      </rPr>
      <t>Pax</t>
    </r>
  </si>
  <si>
    <r>
      <rPr>
        <rFont val="Calibri"/>
        <color theme="1"/>
        <sz val="16.0"/>
      </rPr>
      <t>Bromo - Jeep</t>
    </r>
  </si>
  <si>
    <r>
      <rPr>
        <rFont val="Calibri"/>
        <color theme="1"/>
        <sz val="16.0"/>
      </rPr>
      <t>Pax</t>
    </r>
  </si>
  <si>
    <r>
      <rPr>
        <rFont val="Calibri"/>
        <b/>
        <color theme="1"/>
        <sz val="16.0"/>
        <u/>
      </rPr>
      <t>B4. Tumpak Sewu/ Kapas Biru/ Panorama/ Coban Sriti</t>
    </r>
  </si>
  <si>
    <r>
      <rPr>
        <rFont val="Calibri"/>
        <color theme="1"/>
        <sz val="16.0"/>
      </rPr>
      <t>Tumpak Sewu - Ticket</t>
    </r>
  </si>
  <si>
    <r>
      <rPr>
        <rFont val="Calibri"/>
        <color theme="1"/>
        <sz val="16.0"/>
      </rPr>
      <t>Pax</t>
    </r>
  </si>
  <si>
    <r>
      <rPr>
        <rFont val="Calibri"/>
        <color theme="1"/>
        <sz val="16.0"/>
      </rPr>
      <t>No</t>
    </r>
  </si>
  <si>
    <r>
      <rPr>
        <rFont val="Calibri"/>
        <color theme="1"/>
        <sz val="16.0"/>
      </rPr>
      <t>Yanto's lunch incl drinks</t>
    </r>
  </si>
  <si>
    <r>
      <rPr>
        <rFont val="Calibri"/>
        <color theme="1"/>
        <sz val="16.0"/>
      </rPr>
      <t>Pax</t>
    </r>
  </si>
  <si>
    <r>
      <rPr>
        <rFont val="Calibri"/>
        <b/>
        <color theme="1"/>
        <sz val="16.0"/>
        <u/>
      </rPr>
      <t>C1. Vehicle</t>
    </r>
  </si>
  <si>
    <r>
      <rPr>
        <rFont val="Calibri"/>
        <color theme="1"/>
        <sz val="16.0"/>
      </rPr>
      <t>Avanza</t>
    </r>
  </si>
  <si>
    <r>
      <rPr>
        <rFont val="Calibri"/>
        <color theme="1"/>
        <sz val="16.0"/>
      </rPr>
      <t>Day x Qty</t>
    </r>
  </si>
  <si>
    <r>
      <rPr>
        <rFont val="Calibri"/>
        <color theme="1"/>
        <sz val="16.0"/>
      </rPr>
      <t>Innova</t>
    </r>
  </si>
  <si>
    <r>
      <rPr>
        <rFont val="Calibri"/>
        <color theme="1"/>
        <sz val="16.0"/>
      </rPr>
      <t>Day x Qty</t>
    </r>
  </si>
  <si>
    <r>
      <rPr>
        <rFont val="Calibri"/>
        <color theme="1"/>
        <sz val="16.0"/>
      </rPr>
      <t>Day x Qty</t>
    </r>
  </si>
  <si>
    <r>
      <rPr>
        <rFont val="Calibri"/>
        <color theme="1"/>
        <sz val="16.0"/>
      </rPr>
      <t>Toyota Hiace Premio (4-6pax)</t>
    </r>
  </si>
  <si>
    <r>
      <rPr>
        <rFont val="Calibri"/>
        <color theme="1"/>
        <sz val="16.0"/>
      </rPr>
      <t>Day x Qty</t>
    </r>
  </si>
  <si>
    <r>
      <rPr>
        <rFont val="Calibri"/>
        <color theme="1"/>
        <sz val="16.0"/>
      </rPr>
      <t>Day x Qty</t>
    </r>
  </si>
  <si>
    <r>
      <rPr>
        <rFont val="Calibri"/>
        <b/>
        <color theme="1"/>
        <sz val="16.0"/>
        <u/>
      </rPr>
      <t>C2. Parking and toll</t>
    </r>
  </si>
  <si>
    <r>
      <rPr>
        <rFont val="Calibri"/>
        <color theme="1"/>
        <sz val="16.0"/>
      </rPr>
      <t>Probolingo</t>
    </r>
  </si>
  <si>
    <r>
      <rPr>
        <rFont val="Calibri"/>
        <color theme="1"/>
        <sz val="16.0"/>
      </rPr>
      <t>No</t>
    </r>
  </si>
  <si>
    <r>
      <rPr>
        <rFont val="Calibri"/>
        <color theme="1"/>
        <sz val="16.0"/>
      </rPr>
      <t>No</t>
    </r>
  </si>
  <si>
    <r>
      <rPr>
        <rFont val="Calibri"/>
        <b/>
        <color theme="1"/>
        <sz val="16.0"/>
        <u/>
      </rPr>
      <t>C3. Shuttle service</t>
    </r>
  </si>
  <si>
    <r>
      <rPr>
        <rFont val="Calibri"/>
        <color theme="1"/>
        <sz val="16.0"/>
      </rPr>
      <t>Every 3 pax</t>
    </r>
  </si>
  <si>
    <r>
      <rPr>
        <rFont val="Calibri"/>
        <color theme="1"/>
        <sz val="16.0"/>
      </rPr>
      <t>Trip</t>
    </r>
  </si>
  <si>
    <r>
      <rPr>
        <rFont val="Calibri"/>
        <color theme="1"/>
        <sz val="16.0"/>
      </rPr>
      <t>Trip</t>
    </r>
  </si>
  <si>
    <r>
      <rPr>
        <rFont val="Calibri"/>
        <b/>
        <color theme="1"/>
        <sz val="16.0"/>
        <u/>
      </rPr>
      <t>D1. In house</t>
    </r>
  </si>
  <si>
    <r>
      <rPr>
        <rFont val="Calibri"/>
        <color theme="1"/>
        <sz val="16.0"/>
      </rPr>
      <t>Driver cum guide</t>
    </r>
  </si>
  <si>
    <r>
      <rPr>
        <rFont val="Calibri"/>
        <color theme="1"/>
        <sz val="16.0"/>
      </rPr>
      <t>Day x Qty</t>
    </r>
  </si>
  <si>
    <r>
      <rPr>
        <rFont val="Calibri"/>
        <color theme="1"/>
        <sz val="16.0"/>
      </rPr>
      <t>Day x Qty</t>
    </r>
  </si>
  <si>
    <r>
      <rPr>
        <rFont val="Calibri"/>
        <color theme="1"/>
        <sz val="16.0"/>
      </rPr>
      <t>Day x Qty</t>
    </r>
  </si>
  <si>
    <r>
      <rPr>
        <rFont val="Calibri"/>
        <b/>
        <color theme="1"/>
        <sz val="16.0"/>
        <u/>
      </rPr>
      <t>E1. Miscelleneous</t>
    </r>
  </si>
  <si>
    <r>
      <rPr>
        <rFont val="Calibri"/>
        <color theme="1"/>
        <sz val="16.0"/>
      </rPr>
      <t>Mineral Water</t>
    </r>
  </si>
  <si>
    <r>
      <rPr>
        <rFont val="Calibri"/>
        <color theme="1"/>
        <sz val="16.0"/>
      </rPr>
      <t>T Shirt</t>
    </r>
  </si>
  <si>
    <r>
      <rPr>
        <rFont val="Calibri"/>
        <color theme="1"/>
        <sz val="16.0"/>
      </rPr>
      <t>Pax</t>
    </r>
  </si>
  <si>
    <r>
      <rPr>
        <rFont val="Calibri"/>
        <b/>
        <color theme="1"/>
        <sz val="16.0"/>
        <u/>
      </rPr>
      <t>E2. Police Escort</t>
    </r>
  </si>
  <si>
    <r>
      <rPr>
        <rFont val="Calibri"/>
        <color theme="1"/>
        <sz val="16.0"/>
      </rPr>
      <t>Probolingo &lt;-&gt; Bondowoso / Pasir Putih</t>
    </r>
  </si>
  <si>
    <r>
      <rPr>
        <rFont val="Calibri"/>
        <color theme="1"/>
        <sz val="16.0"/>
      </rPr>
      <t>Trip</t>
    </r>
  </si>
  <si>
    <r>
      <rPr>
        <rFont val="Calibri"/>
        <b/>
        <color theme="1"/>
        <sz val="16.0"/>
        <u/>
      </rPr>
      <t>E3. Bali Transfer</t>
    </r>
  </si>
  <si>
    <r>
      <rPr>
        <rFont val="Calibri"/>
        <color theme="1"/>
        <sz val="16.0"/>
      </rPr>
      <t>Ferry tickets (1-way)</t>
    </r>
  </si>
  <si>
    <r>
      <rPr>
        <rFont val="Calibri"/>
        <color theme="1"/>
        <sz val="16.0"/>
      </rPr>
      <t>Pax</t>
    </r>
  </si>
  <si>
    <r>
      <rPr>
        <rFont val="Calibri"/>
        <color theme="1"/>
        <sz val="16.0"/>
      </rPr>
      <t>No</t>
    </r>
  </si>
  <si>
    <r>
      <rPr>
        <rFont val="Calibri"/>
        <b/>
        <color theme="1"/>
        <sz val="16.0"/>
      </rPr>
      <t>Description</t>
    </r>
  </si>
  <si>
    <r>
      <rPr>
        <rFont val="Calibri"/>
        <b/>
        <color theme="1"/>
        <sz val="16.0"/>
      </rPr>
      <t>Unit</t>
    </r>
  </si>
  <si>
    <r>
      <rPr>
        <rFont val="Calibri"/>
        <b/>
        <color theme="1"/>
        <sz val="16.0"/>
      </rPr>
      <t>Rate</t>
    </r>
  </si>
  <si>
    <r>
      <rPr>
        <rFont val="Calibri"/>
        <b/>
        <color theme="1"/>
        <sz val="16.0"/>
      </rPr>
      <t>A. Accommodation</t>
    </r>
  </si>
  <si>
    <r>
      <rPr>
        <rFont val="Calibri"/>
        <b/>
        <color theme="1"/>
        <sz val="16.0"/>
        <u/>
      </rPr>
      <t>A1. Ijen</t>
    </r>
  </si>
  <si>
    <r>
      <rPr>
        <rFont val="Calibri"/>
        <color theme="1"/>
        <sz val="16.0"/>
      </rPr>
      <t>No</t>
    </r>
  </si>
  <si>
    <r>
      <rPr>
        <rFont val="Calibri"/>
        <color theme="1"/>
        <sz val="16.0"/>
      </rPr>
      <t>No</t>
    </r>
  </si>
  <si>
    <r>
      <rPr>
        <rFont val="Calibri"/>
        <color theme="1"/>
        <sz val="16.0"/>
      </rPr>
      <t>No</t>
    </r>
  </si>
  <si>
    <r>
      <rPr>
        <rFont val="Calibri"/>
        <color theme="1"/>
        <sz val="16.0"/>
      </rPr>
      <t>No</t>
    </r>
  </si>
  <si>
    <r>
      <rPr>
        <rFont val="Calibri"/>
        <color theme="1"/>
        <sz val="16.0"/>
      </rPr>
      <t>No</t>
    </r>
  </si>
  <si>
    <r>
      <rPr>
        <rFont val="Calibri"/>
        <b/>
        <color theme="1"/>
        <sz val="16.0"/>
        <u/>
      </rPr>
      <t>A2. Bromo </t>
    </r>
  </si>
  <si>
    <r>
      <rPr>
        <rFont val="Calibri"/>
        <color theme="1"/>
        <sz val="16.0"/>
      </rPr>
      <t>No</t>
    </r>
  </si>
  <si>
    <r>
      <rPr>
        <rFont val="Calibri"/>
        <color theme="1"/>
        <sz val="16.0"/>
      </rPr>
      <t>No</t>
    </r>
  </si>
  <si>
    <r>
      <rPr>
        <rFont val="Calibri"/>
        <color theme="1"/>
        <sz val="16.0"/>
      </rPr>
      <t>No</t>
    </r>
  </si>
  <si>
    <r>
      <rPr>
        <rFont val="Calibri"/>
        <b/>
        <color theme="1"/>
        <sz val="16.0"/>
        <u/>
      </rPr>
      <t>A3. Lumajang / Malang / Jember</t>
    </r>
  </si>
  <si>
    <r>
      <rPr>
        <rFont val="Calibri"/>
        <color theme="1"/>
        <sz val="16.0"/>
      </rPr>
      <t>No</t>
    </r>
  </si>
  <si>
    <r>
      <rPr>
        <rFont val="Calibri"/>
        <color theme="1"/>
        <sz val="16.0"/>
      </rPr>
      <t>No</t>
    </r>
  </si>
  <si>
    <r>
      <rPr>
        <rFont val="Calibri"/>
        <color theme="1"/>
        <sz val="16.0"/>
      </rPr>
      <t>No</t>
    </r>
  </si>
  <si>
    <r>
      <rPr>
        <rFont val="Calibri"/>
        <color theme="1"/>
        <sz val="16.0"/>
      </rPr>
      <t>No</t>
    </r>
  </si>
  <si>
    <r>
      <rPr>
        <rFont val="Calibri"/>
        <color theme="1"/>
        <sz val="16.0"/>
      </rPr>
      <t>Doho Homestay - Emerald</t>
    </r>
  </si>
  <si>
    <r>
      <rPr>
        <rFont val="Calibri"/>
        <color theme="1"/>
        <sz val="16.0"/>
      </rPr>
      <t>No</t>
    </r>
  </si>
  <si>
    <r>
      <rPr>
        <rFont val="Calibri"/>
        <color theme="1"/>
        <sz val="16.0"/>
      </rPr>
      <t>Doho Homestay - Platinum</t>
    </r>
  </si>
  <si>
    <r>
      <rPr>
        <rFont val="Calibri"/>
        <color theme="1"/>
        <sz val="16.0"/>
      </rPr>
      <t>No</t>
    </r>
  </si>
  <si>
    <r>
      <rPr>
        <rFont val="Calibri"/>
        <color theme="1"/>
        <sz val="16.0"/>
      </rPr>
      <t>Doho Homestay - Family</t>
    </r>
  </si>
  <si>
    <r>
      <rPr>
        <rFont val="Calibri"/>
        <color theme="1"/>
        <sz val="16.0"/>
      </rPr>
      <t>No</t>
    </r>
  </si>
  <si>
    <r>
      <rPr>
        <rFont val="Calibri"/>
        <color theme="1"/>
        <sz val="16.0"/>
      </rPr>
      <t>No</t>
    </r>
  </si>
  <si>
    <r>
      <rPr>
        <rFont val="Calibri"/>
        <color theme="1"/>
        <sz val="16.0"/>
      </rPr>
      <t>No</t>
    </r>
  </si>
  <si>
    <r>
      <rPr>
        <rFont val="Calibri"/>
        <color theme="1"/>
        <sz val="16.0"/>
      </rPr>
      <t>No</t>
    </r>
  </si>
  <si>
    <r>
      <rPr>
        <rFont val="Calibri"/>
        <color theme="1"/>
        <sz val="16.0"/>
      </rPr>
      <t>No</t>
    </r>
  </si>
  <si>
    <r>
      <rPr>
        <rFont val="Calibri"/>
        <b/>
        <color theme="1"/>
        <sz val="16.0"/>
      </rPr>
      <t>B. Activities</t>
    </r>
  </si>
  <si>
    <r>
      <rPr>
        <rFont val="Calibri"/>
        <b/>
        <color theme="1"/>
        <sz val="16.0"/>
        <u/>
      </rPr>
      <t>B1. Ijen</t>
    </r>
  </si>
  <si>
    <r>
      <rPr>
        <rFont val="Calibri"/>
        <color theme="1"/>
        <sz val="16.0"/>
      </rPr>
      <t>Pax</t>
    </r>
  </si>
  <si>
    <r>
      <rPr>
        <rFont val="Calibri"/>
        <color theme="1"/>
        <sz val="16.0"/>
      </rPr>
      <t>Gas Mask</t>
    </r>
  </si>
  <si>
    <r>
      <rPr>
        <rFont val="Calibri"/>
        <color theme="1"/>
        <sz val="16.0"/>
      </rPr>
      <t>Pax</t>
    </r>
  </si>
  <si>
    <r>
      <rPr>
        <rFont val="Calibri"/>
        <color theme="1"/>
        <sz val="16.0"/>
      </rPr>
      <t>Pax</t>
    </r>
  </si>
  <si>
    <r>
      <rPr>
        <rFont val="Calibri"/>
        <color theme="1"/>
        <sz val="16.0"/>
      </rPr>
      <t>No</t>
    </r>
  </si>
  <si>
    <r>
      <rPr>
        <rFont val="Calibri"/>
        <color theme="1"/>
        <sz val="16.0"/>
      </rPr>
      <t>Pax</t>
    </r>
  </si>
  <si>
    <r>
      <rPr>
        <rFont val="Calibri"/>
        <color theme="1"/>
        <sz val="16.0"/>
      </rPr>
      <t>Pax</t>
    </r>
  </si>
  <si>
    <r>
      <rPr>
        <rFont val="Calibri"/>
        <color theme="1"/>
        <sz val="16.0"/>
      </rPr>
      <t>Pax</t>
    </r>
  </si>
  <si>
    <r>
      <rPr>
        <rFont val="Calibri"/>
        <color theme="1"/>
        <sz val="16.0"/>
      </rPr>
      <t>Pax</t>
    </r>
  </si>
  <si>
    <r>
      <rPr>
        <rFont val="Calibri"/>
        <color theme="1"/>
        <sz val="16.0"/>
      </rPr>
      <t>Ijen Certificate</t>
    </r>
  </si>
  <si>
    <r>
      <rPr>
        <rFont val="Calibri"/>
        <color theme="1"/>
        <sz val="16.0"/>
      </rPr>
      <t>No</t>
    </r>
  </si>
  <si>
    <r>
      <rPr>
        <rFont val="Calibri"/>
        <b/>
        <color theme="1"/>
        <sz val="16.0"/>
        <u/>
      </rPr>
      <t>B2. Bromo </t>
    </r>
  </si>
  <si>
    <r>
      <rPr>
        <rFont val="Calibri"/>
        <color theme="1"/>
        <sz val="16.0"/>
      </rPr>
      <t>Pax</t>
    </r>
  </si>
  <si>
    <r>
      <rPr>
        <rFont val="Calibri"/>
        <color theme="1"/>
        <sz val="16.0"/>
      </rPr>
      <t>Bromo - Jeep</t>
    </r>
  </si>
  <si>
    <r>
      <rPr>
        <rFont val="Calibri"/>
        <color theme="1"/>
        <sz val="16.0"/>
      </rPr>
      <t>Pax</t>
    </r>
  </si>
  <si>
    <r>
      <rPr>
        <rFont val="Calibri"/>
        <b/>
        <color theme="1"/>
        <sz val="16.0"/>
        <u/>
      </rPr>
      <t>B4. Tumpak Sewu/ Kapas Biru/ Panorama/ Coban Sriti</t>
    </r>
  </si>
  <si>
    <r>
      <rPr>
        <rFont val="Calibri"/>
        <color theme="1"/>
        <sz val="16.0"/>
      </rPr>
      <t>Tumpak Sewu - Ticket</t>
    </r>
  </si>
  <si>
    <r>
      <rPr>
        <rFont val="Calibri"/>
        <color theme="1"/>
        <sz val="16.0"/>
      </rPr>
      <t>Pax</t>
    </r>
  </si>
  <si>
    <r>
      <rPr>
        <rFont val="Calibri"/>
        <color theme="1"/>
        <sz val="16.0"/>
      </rPr>
      <t>No</t>
    </r>
  </si>
  <si>
    <r>
      <rPr>
        <rFont val="Calibri"/>
        <color theme="1"/>
        <sz val="16.0"/>
      </rPr>
      <t>Yanto's lunch incl drinks</t>
    </r>
  </si>
  <si>
    <r>
      <rPr>
        <rFont val="Calibri"/>
        <color theme="1"/>
        <sz val="16.0"/>
      </rPr>
      <t>Pax</t>
    </r>
  </si>
  <si>
    <r>
      <rPr>
        <rFont val="Calibri"/>
        <b/>
        <color theme="1"/>
        <sz val="16.0"/>
        <u/>
      </rPr>
      <t>C1. Vehicle</t>
    </r>
  </si>
  <si>
    <r>
      <rPr>
        <rFont val="Calibri"/>
        <color theme="1"/>
        <sz val="16.0"/>
      </rPr>
      <t>Avanza</t>
    </r>
  </si>
  <si>
    <r>
      <rPr>
        <rFont val="Calibri"/>
        <color theme="1"/>
        <sz val="16.0"/>
      </rPr>
      <t>Day x Qty</t>
    </r>
  </si>
  <si>
    <r>
      <rPr>
        <rFont val="Calibri"/>
        <color theme="1"/>
        <sz val="16.0"/>
      </rPr>
      <t>Innova</t>
    </r>
  </si>
  <si>
    <r>
      <rPr>
        <rFont val="Calibri"/>
        <color theme="1"/>
        <sz val="16.0"/>
      </rPr>
      <t>Day x Qty</t>
    </r>
  </si>
  <si>
    <r>
      <rPr>
        <rFont val="Calibri"/>
        <color theme="1"/>
        <sz val="16.0"/>
      </rPr>
      <t>Day x Qty</t>
    </r>
  </si>
  <si>
    <r>
      <rPr>
        <rFont val="Calibri"/>
        <color theme="1"/>
        <sz val="16.0"/>
      </rPr>
      <t>Toyota Hiace Premio (4-6pax)</t>
    </r>
  </si>
  <si>
    <r>
      <rPr>
        <rFont val="Calibri"/>
        <color theme="1"/>
        <sz val="16.0"/>
      </rPr>
      <t>Day x Qty</t>
    </r>
  </si>
  <si>
    <r>
      <rPr>
        <rFont val="Calibri"/>
        <color theme="1"/>
        <sz val="16.0"/>
      </rPr>
      <t>Day x Qty</t>
    </r>
  </si>
  <si>
    <r>
      <rPr>
        <rFont val="Calibri"/>
        <b/>
        <color theme="1"/>
        <sz val="16.0"/>
        <u/>
      </rPr>
      <t>C2. Parking and toll</t>
    </r>
  </si>
  <si>
    <r>
      <rPr>
        <rFont val="Calibri"/>
        <color theme="1"/>
        <sz val="16.0"/>
      </rPr>
      <t>Probolingo</t>
    </r>
  </si>
  <si>
    <r>
      <rPr>
        <rFont val="Calibri"/>
        <color theme="1"/>
        <sz val="16.0"/>
      </rPr>
      <t>No</t>
    </r>
  </si>
  <si>
    <r>
      <rPr>
        <rFont val="Calibri"/>
        <color theme="1"/>
        <sz val="16.0"/>
      </rPr>
      <t>No</t>
    </r>
  </si>
  <si>
    <r>
      <rPr>
        <rFont val="Calibri"/>
        <b/>
        <color theme="1"/>
        <sz val="16.0"/>
        <u/>
      </rPr>
      <t>C3. Shuttle service</t>
    </r>
  </si>
  <si>
    <r>
      <rPr>
        <rFont val="Calibri"/>
        <color theme="1"/>
        <sz val="16.0"/>
      </rPr>
      <t>Every 3 pax</t>
    </r>
  </si>
  <si>
    <r>
      <rPr>
        <rFont val="Calibri"/>
        <color theme="1"/>
        <sz val="16.0"/>
      </rPr>
      <t>Trip</t>
    </r>
  </si>
  <si>
    <r>
      <rPr>
        <rFont val="Calibri"/>
        <color theme="1"/>
        <sz val="16.0"/>
      </rPr>
      <t>Trip</t>
    </r>
  </si>
  <si>
    <r>
      <rPr>
        <rFont val="Calibri"/>
        <b/>
        <color theme="1"/>
        <sz val="16.0"/>
        <u/>
      </rPr>
      <t>D1. In house</t>
    </r>
  </si>
  <si>
    <r>
      <rPr>
        <rFont val="Calibri"/>
        <color theme="1"/>
        <sz val="16.0"/>
      </rPr>
      <t>Driver cum guide</t>
    </r>
  </si>
  <si>
    <r>
      <rPr>
        <rFont val="Calibri"/>
        <color theme="1"/>
        <sz val="16.0"/>
      </rPr>
      <t>Day x Qty</t>
    </r>
  </si>
  <si>
    <r>
      <rPr>
        <rFont val="Calibri"/>
        <color theme="1"/>
        <sz val="16.0"/>
      </rPr>
      <t>Day x Qty</t>
    </r>
  </si>
  <si>
    <r>
      <rPr>
        <rFont val="Calibri"/>
        <color theme="1"/>
        <sz val="16.0"/>
      </rPr>
      <t>Day x Qty</t>
    </r>
  </si>
  <si>
    <r>
      <rPr>
        <rFont val="Calibri"/>
        <b/>
        <color theme="1"/>
        <sz val="16.0"/>
        <u/>
      </rPr>
      <t>E1. Miscelleneous</t>
    </r>
  </si>
  <si>
    <r>
      <rPr>
        <rFont val="Calibri"/>
        <color theme="1"/>
        <sz val="16.0"/>
      </rPr>
      <t>Mineral Water</t>
    </r>
  </si>
  <si>
    <r>
      <rPr>
        <rFont val="Calibri"/>
        <color theme="1"/>
        <sz val="16.0"/>
      </rPr>
      <t>T Shirt</t>
    </r>
  </si>
  <si>
    <r>
      <rPr>
        <rFont val="Calibri"/>
        <color theme="1"/>
        <sz val="16.0"/>
      </rPr>
      <t>Pax</t>
    </r>
  </si>
  <si>
    <r>
      <rPr>
        <rFont val="Calibri"/>
        <b/>
        <color theme="1"/>
        <sz val="16.0"/>
        <u/>
      </rPr>
      <t>E2. Police Escort</t>
    </r>
  </si>
  <si>
    <r>
      <rPr>
        <rFont val="Calibri"/>
        <color theme="1"/>
        <sz val="16.0"/>
      </rPr>
      <t>Probolingo &lt;-&gt; Bondowoso / Pasir Putih</t>
    </r>
  </si>
  <si>
    <r>
      <rPr>
        <rFont val="Calibri"/>
        <color theme="1"/>
        <sz val="16.0"/>
      </rPr>
      <t>Trip</t>
    </r>
  </si>
  <si>
    <r>
      <rPr>
        <rFont val="Calibri"/>
        <b/>
        <color theme="1"/>
        <sz val="16.0"/>
        <u/>
      </rPr>
      <t>E3. Bali Transfer</t>
    </r>
  </si>
  <si>
    <r>
      <rPr>
        <rFont val="Calibri"/>
        <color theme="1"/>
        <sz val="16.0"/>
      </rPr>
      <t>Ferry tickets (1-way)</t>
    </r>
  </si>
  <si>
    <r>
      <rPr>
        <rFont val="Calibri"/>
        <color theme="1"/>
        <sz val="16.0"/>
      </rPr>
      <t>Pax</t>
    </r>
  </si>
  <si>
    <r>
      <rPr>
        <rFont val="Calibri"/>
        <color theme="1"/>
        <sz val="16.0"/>
      </rPr>
      <t>No</t>
    </r>
  </si>
  <si>
    <r>
      <rPr>
        <rFont val="Calibri"/>
        <b/>
        <color theme="1"/>
        <sz val="16.0"/>
      </rPr>
      <t>Description</t>
    </r>
  </si>
  <si>
    <r>
      <rPr>
        <rFont val="Calibri"/>
        <b/>
        <color theme="1"/>
        <sz val="16.0"/>
      </rPr>
      <t>Unit</t>
    </r>
  </si>
  <si>
    <r>
      <rPr>
        <rFont val="Calibri"/>
        <b/>
        <color theme="1"/>
        <sz val="16.0"/>
      </rPr>
      <t>Rate</t>
    </r>
  </si>
  <si>
    <r>
      <rPr>
        <rFont val="Calibri"/>
        <b/>
        <color theme="1"/>
        <sz val="16.0"/>
      </rPr>
      <t>A. Accommodation</t>
    </r>
  </si>
  <si>
    <r>
      <rPr>
        <rFont val="Calibri"/>
        <b/>
        <color theme="1"/>
        <sz val="16.0"/>
        <u/>
      </rPr>
      <t>A1. Ijen</t>
    </r>
  </si>
  <si>
    <r>
      <rPr>
        <rFont val="Calibri"/>
        <color theme="1"/>
        <sz val="16.0"/>
      </rPr>
      <t>No</t>
    </r>
  </si>
  <si>
    <r>
      <rPr>
        <rFont val="Calibri"/>
        <color theme="1"/>
        <sz val="16.0"/>
      </rPr>
      <t>No</t>
    </r>
  </si>
  <si>
    <r>
      <rPr>
        <rFont val="Calibri"/>
        <color theme="1"/>
        <sz val="16.0"/>
      </rPr>
      <t>No</t>
    </r>
  </si>
  <si>
    <r>
      <rPr>
        <rFont val="Calibri"/>
        <color theme="1"/>
        <sz val="16.0"/>
      </rPr>
      <t>No</t>
    </r>
  </si>
  <si>
    <r>
      <rPr>
        <rFont val="Calibri"/>
        <color theme="1"/>
        <sz val="16.0"/>
      </rPr>
      <t>No</t>
    </r>
  </si>
  <si>
    <r>
      <rPr>
        <rFont val="Calibri"/>
        <b/>
        <color theme="1"/>
        <sz val="16.0"/>
        <u/>
      </rPr>
      <t>A2. Bromo </t>
    </r>
  </si>
  <si>
    <r>
      <rPr>
        <rFont val="Calibri"/>
        <color theme="1"/>
        <sz val="16.0"/>
      </rPr>
      <t>No</t>
    </r>
  </si>
  <si>
    <r>
      <rPr>
        <rFont val="Calibri"/>
        <color theme="1"/>
        <sz val="16.0"/>
      </rPr>
      <t>No</t>
    </r>
  </si>
  <si>
    <r>
      <rPr>
        <rFont val="Calibri"/>
        <color theme="1"/>
        <sz val="16.0"/>
      </rPr>
      <t>No</t>
    </r>
  </si>
  <si>
    <r>
      <rPr>
        <rFont val="Calibri"/>
        <b/>
        <color theme="1"/>
        <sz val="16.0"/>
        <u/>
      </rPr>
      <t>A3. Lumajang / Malang / Jember</t>
    </r>
  </si>
  <si>
    <r>
      <rPr>
        <rFont val="Calibri"/>
        <color theme="1"/>
        <sz val="16.0"/>
      </rPr>
      <t>No</t>
    </r>
  </si>
  <si>
    <r>
      <rPr>
        <rFont val="Calibri"/>
        <color theme="1"/>
        <sz val="16.0"/>
      </rPr>
      <t>No</t>
    </r>
  </si>
  <si>
    <r>
      <rPr>
        <rFont val="Calibri"/>
        <color theme="1"/>
        <sz val="16.0"/>
      </rPr>
      <t>No</t>
    </r>
  </si>
  <si>
    <r>
      <rPr>
        <rFont val="Calibri"/>
        <color theme="1"/>
        <sz val="16.0"/>
      </rPr>
      <t>No</t>
    </r>
  </si>
  <si>
    <r>
      <rPr>
        <rFont val="Calibri"/>
        <color theme="1"/>
        <sz val="16.0"/>
      </rPr>
      <t>Doho Homestay - Emerald</t>
    </r>
  </si>
  <si>
    <r>
      <rPr>
        <rFont val="Calibri"/>
        <color theme="1"/>
        <sz val="16.0"/>
      </rPr>
      <t>No</t>
    </r>
  </si>
  <si>
    <r>
      <rPr>
        <rFont val="Calibri"/>
        <color theme="1"/>
        <sz val="16.0"/>
      </rPr>
      <t>Doho Homestay - Platinum</t>
    </r>
  </si>
  <si>
    <r>
      <rPr>
        <rFont val="Calibri"/>
        <color theme="1"/>
        <sz val="16.0"/>
      </rPr>
      <t>No</t>
    </r>
  </si>
  <si>
    <r>
      <rPr>
        <rFont val="Calibri"/>
        <color theme="1"/>
        <sz val="16.0"/>
      </rPr>
      <t>Doho Homestay - Family</t>
    </r>
  </si>
  <si>
    <r>
      <rPr>
        <rFont val="Calibri"/>
        <color theme="1"/>
        <sz val="16.0"/>
      </rPr>
      <t>No</t>
    </r>
  </si>
  <si>
    <r>
      <rPr>
        <rFont val="Calibri"/>
        <color theme="1"/>
        <sz val="16.0"/>
      </rPr>
      <t>No</t>
    </r>
  </si>
  <si>
    <r>
      <rPr>
        <rFont val="Calibri"/>
        <color theme="1"/>
        <sz val="16.0"/>
      </rPr>
      <t>No</t>
    </r>
  </si>
  <si>
    <r>
      <rPr>
        <rFont val="Calibri"/>
        <color theme="1"/>
        <sz val="16.0"/>
      </rPr>
      <t>No</t>
    </r>
  </si>
  <si>
    <r>
      <rPr>
        <rFont val="Calibri"/>
        <color theme="1"/>
        <sz val="16.0"/>
      </rPr>
      <t>No</t>
    </r>
  </si>
  <si>
    <r>
      <rPr>
        <rFont val="Calibri"/>
        <b/>
        <color theme="1"/>
        <sz val="16.0"/>
      </rPr>
      <t>B. Activities</t>
    </r>
  </si>
  <si>
    <r>
      <rPr>
        <rFont val="Calibri"/>
        <b/>
        <color theme="1"/>
        <sz val="16.0"/>
        <u/>
      </rPr>
      <t>B1. Ijen</t>
    </r>
  </si>
  <si>
    <r>
      <rPr>
        <rFont val="Calibri"/>
        <color theme="1"/>
        <sz val="16.0"/>
      </rPr>
      <t>Pax</t>
    </r>
  </si>
  <si>
    <r>
      <rPr>
        <rFont val="Calibri"/>
        <color theme="1"/>
        <sz val="16.0"/>
      </rPr>
      <t>Gas Mask</t>
    </r>
  </si>
  <si>
    <r>
      <rPr>
        <rFont val="Calibri"/>
        <color theme="1"/>
        <sz val="16.0"/>
      </rPr>
      <t>Pax</t>
    </r>
  </si>
  <si>
    <r>
      <rPr>
        <rFont val="Calibri"/>
        <color theme="1"/>
        <sz val="16.0"/>
      </rPr>
      <t>Pax</t>
    </r>
  </si>
  <si>
    <r>
      <rPr>
        <rFont val="Calibri"/>
        <color theme="1"/>
        <sz val="16.0"/>
      </rPr>
      <t>No</t>
    </r>
  </si>
  <si>
    <r>
      <rPr>
        <rFont val="Calibri"/>
        <color theme="1"/>
        <sz val="16.0"/>
      </rPr>
      <t>Pax</t>
    </r>
  </si>
  <si>
    <r>
      <rPr>
        <rFont val="Calibri"/>
        <color theme="1"/>
        <sz val="16.0"/>
      </rPr>
      <t>Pax</t>
    </r>
  </si>
  <si>
    <r>
      <rPr>
        <rFont val="Calibri"/>
        <color theme="1"/>
        <sz val="16.0"/>
      </rPr>
      <t>Pax</t>
    </r>
  </si>
  <si>
    <r>
      <rPr>
        <rFont val="Calibri"/>
        <color theme="1"/>
        <sz val="16.0"/>
      </rPr>
      <t>Pax</t>
    </r>
  </si>
  <si>
    <r>
      <rPr>
        <rFont val="Calibri"/>
        <color theme="1"/>
        <sz val="16.0"/>
      </rPr>
      <t>Ijen Certificate</t>
    </r>
  </si>
  <si>
    <r>
      <rPr>
        <rFont val="Calibri"/>
        <color theme="1"/>
        <sz val="16.0"/>
      </rPr>
      <t>No</t>
    </r>
  </si>
  <si>
    <r>
      <rPr>
        <rFont val="Calibri"/>
        <b/>
        <color theme="1"/>
        <sz val="16.0"/>
        <u/>
      </rPr>
      <t>B2. Bromo </t>
    </r>
  </si>
  <si>
    <r>
      <rPr>
        <rFont val="Calibri"/>
        <color theme="1"/>
        <sz val="16.0"/>
      </rPr>
      <t>Pax</t>
    </r>
  </si>
  <si>
    <r>
      <rPr>
        <rFont val="Calibri"/>
        <color theme="1"/>
        <sz val="16.0"/>
      </rPr>
      <t>Bromo - Jeep</t>
    </r>
  </si>
  <si>
    <r>
      <rPr>
        <rFont val="Calibri"/>
        <color theme="1"/>
        <sz val="16.0"/>
      </rPr>
      <t>Pax</t>
    </r>
  </si>
  <si>
    <r>
      <rPr>
        <rFont val="Calibri"/>
        <b/>
        <color theme="1"/>
        <sz val="16.0"/>
        <u/>
      </rPr>
      <t>B4. Tumpak Sewu/ Kapas Biru/ Panorama/ Coban Sriti</t>
    </r>
  </si>
  <si>
    <r>
      <rPr>
        <rFont val="Calibri"/>
        <color theme="1"/>
        <sz val="16.0"/>
      </rPr>
      <t>Tumpak Sewu - Ticket</t>
    </r>
  </si>
  <si>
    <r>
      <rPr>
        <rFont val="Calibri"/>
        <color theme="1"/>
        <sz val="16.0"/>
      </rPr>
      <t>Pax</t>
    </r>
  </si>
  <si>
    <r>
      <rPr>
        <rFont val="Calibri"/>
        <color theme="1"/>
        <sz val="16.0"/>
      </rPr>
      <t>No</t>
    </r>
  </si>
  <si>
    <r>
      <rPr>
        <rFont val="Calibri"/>
        <color theme="1"/>
        <sz val="16.0"/>
      </rPr>
      <t>Yanto's lunch incl drinks</t>
    </r>
  </si>
  <si>
    <r>
      <rPr>
        <rFont val="Calibri"/>
        <color theme="1"/>
        <sz val="16.0"/>
      </rPr>
      <t>Pax</t>
    </r>
  </si>
  <si>
    <r>
      <rPr>
        <rFont val="Calibri"/>
        <b/>
        <color theme="1"/>
        <sz val="16.0"/>
        <u/>
      </rPr>
      <t>C1. Vehicle</t>
    </r>
  </si>
  <si>
    <r>
      <rPr>
        <rFont val="Calibri"/>
        <color theme="1"/>
        <sz val="16.0"/>
      </rPr>
      <t>Avanza</t>
    </r>
  </si>
  <si>
    <r>
      <rPr>
        <rFont val="Calibri"/>
        <color theme="1"/>
        <sz val="16.0"/>
      </rPr>
      <t>Day x Qty</t>
    </r>
  </si>
  <si>
    <r>
      <rPr>
        <rFont val="Calibri"/>
        <color theme="1"/>
        <sz val="16.0"/>
      </rPr>
      <t>Innova</t>
    </r>
  </si>
  <si>
    <r>
      <rPr>
        <rFont val="Calibri"/>
        <color theme="1"/>
        <sz val="16.0"/>
      </rPr>
      <t>Day x Qty</t>
    </r>
  </si>
  <si>
    <r>
      <rPr>
        <rFont val="Calibri"/>
        <color theme="1"/>
        <sz val="16.0"/>
      </rPr>
      <t>Day x Qty</t>
    </r>
  </si>
  <si>
    <r>
      <rPr>
        <rFont val="Calibri"/>
        <color theme="1"/>
        <sz val="16.0"/>
      </rPr>
      <t>Toyota Hiace Premio (4-6pax)</t>
    </r>
  </si>
  <si>
    <r>
      <rPr>
        <rFont val="Calibri"/>
        <color theme="1"/>
        <sz val="16.0"/>
      </rPr>
      <t>Day x Qty</t>
    </r>
  </si>
  <si>
    <r>
      <rPr>
        <rFont val="Calibri"/>
        <color theme="1"/>
        <sz val="16.0"/>
      </rPr>
      <t>Day x Qty</t>
    </r>
  </si>
  <si>
    <r>
      <rPr>
        <rFont val="Calibri"/>
        <b/>
        <color theme="1"/>
        <sz val="16.0"/>
        <u/>
      </rPr>
      <t>C2. Parking and toll</t>
    </r>
  </si>
  <si>
    <r>
      <rPr>
        <rFont val="Calibri"/>
        <color theme="1"/>
        <sz val="16.0"/>
      </rPr>
      <t>Probolingo</t>
    </r>
  </si>
  <si>
    <r>
      <rPr>
        <rFont val="Calibri"/>
        <color theme="1"/>
        <sz val="16.0"/>
      </rPr>
      <t>No</t>
    </r>
  </si>
  <si>
    <r>
      <rPr>
        <rFont val="Calibri"/>
        <color theme="1"/>
        <sz val="16.0"/>
      </rPr>
      <t>No</t>
    </r>
  </si>
  <si>
    <r>
      <rPr>
        <rFont val="Calibri"/>
        <b/>
        <color theme="1"/>
        <sz val="16.0"/>
        <u/>
      </rPr>
      <t>C3. Shuttle service</t>
    </r>
  </si>
  <si>
    <r>
      <rPr>
        <rFont val="Calibri"/>
        <color theme="1"/>
        <sz val="16.0"/>
      </rPr>
      <t>Every 3 pax</t>
    </r>
  </si>
  <si>
    <r>
      <rPr>
        <rFont val="Calibri"/>
        <color theme="1"/>
        <sz val="16.0"/>
      </rPr>
      <t>Trip</t>
    </r>
  </si>
  <si>
    <r>
      <rPr>
        <rFont val="Calibri"/>
        <color theme="1"/>
        <sz val="16.0"/>
      </rPr>
      <t>Trip</t>
    </r>
  </si>
  <si>
    <r>
      <rPr>
        <rFont val="Calibri"/>
        <b/>
        <color theme="1"/>
        <sz val="16.0"/>
        <u/>
      </rPr>
      <t>D1. In house</t>
    </r>
  </si>
  <si>
    <r>
      <rPr>
        <rFont val="Calibri"/>
        <color theme="1"/>
        <sz val="16.0"/>
      </rPr>
      <t>Driver cum guide</t>
    </r>
  </si>
  <si>
    <r>
      <rPr>
        <rFont val="Calibri"/>
        <color theme="1"/>
        <sz val="16.0"/>
      </rPr>
      <t>Day x Qty</t>
    </r>
  </si>
  <si>
    <r>
      <rPr>
        <rFont val="Calibri"/>
        <color theme="1"/>
        <sz val="16.0"/>
      </rPr>
      <t>Day x Qty</t>
    </r>
  </si>
  <si>
    <r>
      <rPr>
        <rFont val="Calibri"/>
        <color theme="1"/>
        <sz val="16.0"/>
      </rPr>
      <t>Day x Qty</t>
    </r>
  </si>
  <si>
    <r>
      <rPr>
        <rFont val="Calibri"/>
        <b/>
        <color theme="1"/>
        <sz val="16.0"/>
        <u/>
      </rPr>
      <t>E1. Miscelleneous</t>
    </r>
  </si>
  <si>
    <r>
      <rPr>
        <rFont val="Calibri"/>
        <color theme="1"/>
        <sz val="16.0"/>
      </rPr>
      <t>Mineral Water</t>
    </r>
  </si>
  <si>
    <r>
      <rPr>
        <rFont val="Calibri"/>
        <color theme="1"/>
        <sz val="16.0"/>
      </rPr>
      <t>T Shirt</t>
    </r>
  </si>
  <si>
    <r>
      <rPr>
        <rFont val="Calibri"/>
        <color theme="1"/>
        <sz val="16.0"/>
      </rPr>
      <t>Pax</t>
    </r>
  </si>
  <si>
    <r>
      <rPr>
        <rFont val="Calibri"/>
        <b/>
        <color theme="1"/>
        <sz val="16.0"/>
        <u/>
      </rPr>
      <t>E2. Police Escort</t>
    </r>
  </si>
  <si>
    <r>
      <rPr>
        <rFont val="Calibri"/>
        <color theme="1"/>
        <sz val="16.0"/>
      </rPr>
      <t>Probolingo &lt;-&gt; Bondowoso / Pasir Putih</t>
    </r>
  </si>
  <si>
    <r>
      <rPr>
        <rFont val="Calibri"/>
        <color theme="1"/>
        <sz val="16.0"/>
      </rPr>
      <t>Trip</t>
    </r>
  </si>
  <si>
    <r>
      <rPr>
        <rFont val="Calibri"/>
        <b/>
        <color theme="1"/>
        <sz val="16.0"/>
        <u/>
      </rPr>
      <t>E3. Bali Transfer</t>
    </r>
  </si>
  <si>
    <r>
      <rPr>
        <rFont val="Calibri"/>
        <color theme="1"/>
        <sz val="16.0"/>
      </rPr>
      <t>Ferry tickets (1-way)</t>
    </r>
  </si>
  <si>
    <r>
      <rPr>
        <rFont val="Calibri"/>
        <color theme="1"/>
        <sz val="16.0"/>
      </rPr>
      <t>Pax</t>
    </r>
  </si>
  <si>
    <r>
      <rPr>
        <rFont val="Calibri"/>
        <color theme="1"/>
        <sz val="16.0"/>
      </rPr>
      <t>No</t>
    </r>
  </si>
  <si>
    <r>
      <rPr>
        <rFont val="Calibri"/>
        <b/>
        <color theme="1"/>
        <sz val="16.0"/>
      </rPr>
      <t>Description</t>
    </r>
  </si>
  <si>
    <r>
      <rPr>
        <rFont val="Calibri"/>
        <b/>
        <color theme="1"/>
        <sz val="16.0"/>
      </rPr>
      <t>Unit</t>
    </r>
  </si>
  <si>
    <r>
      <rPr>
        <rFont val="Calibri"/>
        <b/>
        <color theme="1"/>
        <sz val="16.0"/>
      </rPr>
      <t>Rate</t>
    </r>
  </si>
  <si>
    <r>
      <rPr>
        <rFont val="Calibri"/>
        <b/>
        <color theme="1"/>
        <sz val="16.0"/>
      </rPr>
      <t>A. Accommodation</t>
    </r>
  </si>
  <si>
    <r>
      <rPr>
        <rFont val="Calibri"/>
        <b/>
        <color theme="1"/>
        <sz val="16.0"/>
        <u/>
      </rPr>
      <t>A1. Ijen</t>
    </r>
  </si>
  <si>
    <r>
      <rPr>
        <rFont val="Calibri"/>
        <color theme="1"/>
        <sz val="16.0"/>
      </rPr>
      <t>No</t>
    </r>
  </si>
  <si>
    <r>
      <rPr>
        <rFont val="Calibri"/>
        <color theme="1"/>
        <sz val="16.0"/>
      </rPr>
      <t>No</t>
    </r>
  </si>
  <si>
    <r>
      <rPr>
        <rFont val="Calibri"/>
        <color theme="1"/>
        <sz val="16.0"/>
      </rPr>
      <t>No</t>
    </r>
  </si>
  <si>
    <r>
      <rPr>
        <rFont val="Calibri"/>
        <color theme="1"/>
        <sz val="16.0"/>
      </rPr>
      <t>No</t>
    </r>
  </si>
  <si>
    <r>
      <rPr>
        <rFont val="Calibri"/>
        <color theme="1"/>
        <sz val="16.0"/>
      </rPr>
      <t>No</t>
    </r>
  </si>
  <si>
    <r>
      <rPr>
        <rFont val="Calibri"/>
        <b/>
        <color theme="1"/>
        <sz val="16.0"/>
        <u/>
      </rPr>
      <t>A2. Bromo </t>
    </r>
  </si>
  <si>
    <r>
      <rPr>
        <rFont val="Calibri"/>
        <color theme="1"/>
        <sz val="16.0"/>
      </rPr>
      <t>No</t>
    </r>
  </si>
  <si>
    <r>
      <rPr>
        <rFont val="Calibri"/>
        <color theme="1"/>
        <sz val="16.0"/>
      </rPr>
      <t>No</t>
    </r>
  </si>
  <si>
    <r>
      <rPr>
        <rFont val="Calibri"/>
        <color theme="1"/>
        <sz val="16.0"/>
      </rPr>
      <t>No</t>
    </r>
  </si>
  <si>
    <r>
      <rPr>
        <rFont val="Calibri"/>
        <b/>
        <color theme="1"/>
        <sz val="16.0"/>
        <u/>
      </rPr>
      <t>A3. Lumajang / Malang / Jember</t>
    </r>
  </si>
  <si>
    <r>
      <rPr>
        <rFont val="Calibri"/>
        <color theme="1"/>
        <sz val="16.0"/>
      </rPr>
      <t>No</t>
    </r>
  </si>
  <si>
    <r>
      <rPr>
        <rFont val="Calibri"/>
        <color theme="1"/>
        <sz val="16.0"/>
      </rPr>
      <t>No</t>
    </r>
  </si>
  <si>
    <r>
      <rPr>
        <rFont val="Calibri"/>
        <color theme="1"/>
        <sz val="16.0"/>
      </rPr>
      <t>No</t>
    </r>
  </si>
  <si>
    <r>
      <rPr>
        <rFont val="Calibri"/>
        <color theme="1"/>
        <sz val="16.0"/>
      </rPr>
      <t>No</t>
    </r>
  </si>
  <si>
    <r>
      <rPr>
        <rFont val="Calibri"/>
        <color theme="1"/>
        <sz val="16.0"/>
      </rPr>
      <t>Doho Homestay - Emerald</t>
    </r>
  </si>
  <si>
    <r>
      <rPr>
        <rFont val="Calibri"/>
        <color theme="1"/>
        <sz val="16.0"/>
      </rPr>
      <t>No</t>
    </r>
  </si>
  <si>
    <r>
      <rPr>
        <rFont val="Calibri"/>
        <color theme="1"/>
        <sz val="16.0"/>
      </rPr>
      <t>Doho Homestay - Platinum</t>
    </r>
  </si>
  <si>
    <r>
      <rPr>
        <rFont val="Calibri"/>
        <color theme="1"/>
        <sz val="16.0"/>
      </rPr>
      <t>No</t>
    </r>
  </si>
  <si>
    <r>
      <rPr>
        <rFont val="Calibri"/>
        <color theme="1"/>
        <sz val="16.0"/>
      </rPr>
      <t>Doho Homestay - Family</t>
    </r>
  </si>
  <si>
    <r>
      <rPr>
        <rFont val="Calibri"/>
        <color theme="1"/>
        <sz val="16.0"/>
      </rPr>
      <t>No</t>
    </r>
  </si>
  <si>
    <r>
      <rPr>
        <rFont val="Calibri"/>
        <color theme="1"/>
        <sz val="16.0"/>
      </rPr>
      <t>No</t>
    </r>
  </si>
  <si>
    <r>
      <rPr>
        <rFont val="Calibri"/>
        <color theme="1"/>
        <sz val="16.0"/>
      </rPr>
      <t>No</t>
    </r>
  </si>
  <si>
    <r>
      <rPr>
        <rFont val="Calibri"/>
        <color theme="1"/>
        <sz val="16.0"/>
      </rPr>
      <t>No</t>
    </r>
  </si>
  <si>
    <r>
      <rPr>
        <rFont val="Calibri"/>
        <color theme="1"/>
        <sz val="16.0"/>
      </rPr>
      <t>No</t>
    </r>
  </si>
  <si>
    <r>
      <rPr>
        <rFont val="Calibri"/>
        <b/>
        <color theme="1"/>
        <sz val="16.0"/>
      </rPr>
      <t>B. Activities</t>
    </r>
  </si>
  <si>
    <r>
      <rPr>
        <rFont val="Calibri"/>
        <b/>
        <color theme="1"/>
        <sz val="16.0"/>
        <u/>
      </rPr>
      <t>B1. Ijen</t>
    </r>
  </si>
  <si>
    <r>
      <rPr>
        <rFont val="Calibri"/>
        <color theme="1"/>
        <sz val="16.0"/>
      </rPr>
      <t>Pax</t>
    </r>
  </si>
  <si>
    <r>
      <rPr>
        <rFont val="Calibri"/>
        <color theme="1"/>
        <sz val="16.0"/>
      </rPr>
      <t>Gas Mask</t>
    </r>
  </si>
  <si>
    <r>
      <rPr>
        <rFont val="Calibri"/>
        <color theme="1"/>
        <sz val="16.0"/>
      </rPr>
      <t>Pax</t>
    </r>
  </si>
  <si>
    <r>
      <rPr>
        <rFont val="Calibri"/>
        <color theme="1"/>
        <sz val="16.0"/>
      </rPr>
      <t>Pax</t>
    </r>
  </si>
  <si>
    <r>
      <rPr>
        <rFont val="Calibri"/>
        <color theme="1"/>
        <sz val="16.0"/>
      </rPr>
      <t>No</t>
    </r>
  </si>
  <si>
    <r>
      <rPr>
        <rFont val="Calibri"/>
        <color theme="1"/>
        <sz val="16.0"/>
      </rPr>
      <t>Pax</t>
    </r>
  </si>
  <si>
    <r>
      <rPr>
        <rFont val="Calibri"/>
        <color theme="1"/>
        <sz val="16.0"/>
      </rPr>
      <t>Pax</t>
    </r>
  </si>
  <si>
    <r>
      <rPr>
        <rFont val="Calibri"/>
        <color theme="1"/>
        <sz val="16.0"/>
      </rPr>
      <t>Pax</t>
    </r>
  </si>
  <si>
    <r>
      <rPr>
        <rFont val="Calibri"/>
        <color theme="1"/>
        <sz val="16.0"/>
      </rPr>
      <t>Pax</t>
    </r>
  </si>
  <si>
    <r>
      <rPr>
        <rFont val="Calibri"/>
        <color theme="1"/>
        <sz val="16.0"/>
      </rPr>
      <t>Ijen Certificate</t>
    </r>
  </si>
  <si>
    <r>
      <rPr>
        <rFont val="Calibri"/>
        <color theme="1"/>
        <sz val="16.0"/>
      </rPr>
      <t>No</t>
    </r>
  </si>
  <si>
    <r>
      <rPr>
        <rFont val="Calibri"/>
        <b/>
        <color theme="1"/>
        <sz val="16.0"/>
        <u/>
      </rPr>
      <t>B2. Bromo </t>
    </r>
  </si>
  <si>
    <r>
      <rPr>
        <rFont val="Calibri"/>
        <color theme="1"/>
        <sz val="16.0"/>
      </rPr>
      <t>Pax</t>
    </r>
  </si>
  <si>
    <r>
      <rPr>
        <rFont val="Calibri"/>
        <color theme="1"/>
        <sz val="16.0"/>
      </rPr>
      <t>Bromo - Jeep</t>
    </r>
  </si>
  <si>
    <r>
      <rPr>
        <rFont val="Calibri"/>
        <color theme="1"/>
        <sz val="16.0"/>
      </rPr>
      <t>Pax</t>
    </r>
  </si>
  <si>
    <r>
      <rPr>
        <rFont val="Calibri"/>
        <b/>
        <color theme="1"/>
        <sz val="16.0"/>
        <u/>
      </rPr>
      <t>B4. Tumpak Sewu/ Kapas Biru/ Panorama/ Coban Sriti</t>
    </r>
  </si>
  <si>
    <r>
      <rPr>
        <rFont val="Calibri"/>
        <color theme="1"/>
        <sz val="16.0"/>
      </rPr>
      <t>Tumpak Sewu - Ticket</t>
    </r>
  </si>
  <si>
    <r>
      <rPr>
        <rFont val="Calibri"/>
        <color theme="1"/>
        <sz val="16.0"/>
      </rPr>
      <t>Pax</t>
    </r>
  </si>
  <si>
    <r>
      <rPr>
        <rFont val="Calibri"/>
        <color theme="1"/>
        <sz val="16.0"/>
      </rPr>
      <t>No</t>
    </r>
  </si>
  <si>
    <r>
      <rPr>
        <rFont val="Calibri"/>
        <color theme="1"/>
        <sz val="16.0"/>
      </rPr>
      <t>Yanto's lunch incl drinks</t>
    </r>
  </si>
  <si>
    <r>
      <rPr>
        <rFont val="Calibri"/>
        <color theme="1"/>
        <sz val="16.0"/>
      </rPr>
      <t>Pax</t>
    </r>
  </si>
  <si>
    <r>
      <rPr>
        <rFont val="Calibri"/>
        <b/>
        <color theme="1"/>
        <sz val="16.0"/>
        <u/>
      </rPr>
      <t>C1. Vehicle</t>
    </r>
  </si>
  <si>
    <r>
      <rPr>
        <rFont val="Calibri"/>
        <color theme="1"/>
        <sz val="16.0"/>
      </rPr>
      <t>Avanza</t>
    </r>
  </si>
  <si>
    <r>
      <rPr>
        <rFont val="Calibri"/>
        <color theme="1"/>
        <sz val="16.0"/>
      </rPr>
      <t>Day x Qty</t>
    </r>
  </si>
  <si>
    <r>
      <rPr>
        <rFont val="Calibri"/>
        <color theme="1"/>
        <sz val="16.0"/>
      </rPr>
      <t>Innova</t>
    </r>
  </si>
  <si>
    <r>
      <rPr>
        <rFont val="Calibri"/>
        <color theme="1"/>
        <sz val="16.0"/>
      </rPr>
      <t>Day x Qty</t>
    </r>
  </si>
  <si>
    <r>
      <rPr>
        <rFont val="Calibri"/>
        <color theme="1"/>
        <sz val="16.0"/>
      </rPr>
      <t>Day x Qty</t>
    </r>
  </si>
  <si>
    <r>
      <rPr>
        <rFont val="Calibri"/>
        <color theme="1"/>
        <sz val="16.0"/>
      </rPr>
      <t>Toyota Hiace Premio (4-6pax)</t>
    </r>
  </si>
  <si>
    <r>
      <rPr>
        <rFont val="Calibri"/>
        <color theme="1"/>
        <sz val="16.0"/>
      </rPr>
      <t>Day x Qty</t>
    </r>
  </si>
  <si>
    <r>
      <rPr>
        <rFont val="Calibri"/>
        <color theme="1"/>
        <sz val="16.0"/>
      </rPr>
      <t>Day x Qty</t>
    </r>
  </si>
  <si>
    <r>
      <rPr>
        <rFont val="Calibri"/>
        <b/>
        <color theme="1"/>
        <sz val="16.0"/>
        <u/>
      </rPr>
      <t>C2. Parking and toll</t>
    </r>
  </si>
  <si>
    <r>
      <rPr>
        <rFont val="Calibri"/>
        <color theme="1"/>
        <sz val="16.0"/>
      </rPr>
      <t>Probolingo</t>
    </r>
  </si>
  <si>
    <r>
      <rPr>
        <rFont val="Calibri"/>
        <color theme="1"/>
        <sz val="16.0"/>
      </rPr>
      <t>No</t>
    </r>
  </si>
  <si>
    <r>
      <rPr>
        <rFont val="Calibri"/>
        <color theme="1"/>
        <sz val="16.0"/>
      </rPr>
      <t>No</t>
    </r>
  </si>
  <si>
    <r>
      <rPr>
        <rFont val="Calibri"/>
        <b/>
        <color theme="1"/>
        <sz val="16.0"/>
        <u/>
      </rPr>
      <t>C3. Shuttle service</t>
    </r>
  </si>
  <si>
    <r>
      <rPr>
        <rFont val="Calibri"/>
        <color theme="1"/>
        <sz val="16.0"/>
      </rPr>
      <t>Every 3 pax</t>
    </r>
  </si>
  <si>
    <r>
      <rPr>
        <rFont val="Calibri"/>
        <color theme="1"/>
        <sz val="16.0"/>
      </rPr>
      <t>Trip</t>
    </r>
  </si>
  <si>
    <r>
      <rPr>
        <rFont val="Calibri"/>
        <color theme="1"/>
        <sz val="16.0"/>
      </rPr>
      <t>Trip</t>
    </r>
  </si>
  <si>
    <r>
      <rPr>
        <rFont val="Calibri"/>
        <b/>
        <color theme="1"/>
        <sz val="16.0"/>
        <u/>
      </rPr>
      <t>D1. In house</t>
    </r>
  </si>
  <si>
    <r>
      <rPr>
        <rFont val="Calibri"/>
        <color theme="1"/>
        <sz val="16.0"/>
      </rPr>
      <t>Driver cum guide</t>
    </r>
  </si>
  <si>
    <r>
      <rPr>
        <rFont val="Calibri"/>
        <color theme="1"/>
        <sz val="16.0"/>
      </rPr>
      <t>Day x Qty</t>
    </r>
  </si>
  <si>
    <r>
      <rPr>
        <rFont val="Calibri"/>
        <color theme="1"/>
        <sz val="16.0"/>
      </rPr>
      <t>Day x Qty</t>
    </r>
  </si>
  <si>
    <r>
      <rPr>
        <rFont val="Calibri"/>
        <color theme="1"/>
        <sz val="16.0"/>
      </rPr>
      <t>Day x Qty</t>
    </r>
  </si>
  <si>
    <r>
      <rPr>
        <rFont val="Calibri"/>
        <b/>
        <color theme="1"/>
        <sz val="16.0"/>
        <u/>
      </rPr>
      <t>E1. Miscelleneous</t>
    </r>
  </si>
  <si>
    <r>
      <rPr>
        <rFont val="Calibri"/>
        <color theme="1"/>
        <sz val="16.0"/>
      </rPr>
      <t>Mineral Water</t>
    </r>
  </si>
  <si>
    <r>
      <rPr>
        <rFont val="Calibri"/>
        <color theme="1"/>
        <sz val="16.0"/>
      </rPr>
      <t>T Shirt</t>
    </r>
  </si>
  <si>
    <r>
      <rPr>
        <rFont val="Calibri"/>
        <color theme="1"/>
        <sz val="16.0"/>
      </rPr>
      <t>Pax</t>
    </r>
  </si>
  <si>
    <r>
      <rPr>
        <rFont val="Calibri"/>
        <b/>
        <color theme="1"/>
        <sz val="16.0"/>
        <u/>
      </rPr>
      <t>E2. Police Escort</t>
    </r>
  </si>
  <si>
    <r>
      <rPr>
        <rFont val="Calibri"/>
        <color theme="1"/>
        <sz val="16.0"/>
      </rPr>
      <t>Probolingo &lt;-&gt; Bondowoso / Pasir Putih</t>
    </r>
  </si>
  <si>
    <r>
      <rPr>
        <rFont val="Calibri"/>
        <color theme="1"/>
        <sz val="16.0"/>
      </rPr>
      <t>Trip</t>
    </r>
  </si>
  <si>
    <r>
      <rPr>
        <rFont val="Calibri"/>
        <b/>
        <color theme="1"/>
        <sz val="16.0"/>
        <u/>
      </rPr>
      <t>E3. Bali Transfer</t>
    </r>
  </si>
  <si>
    <r>
      <rPr>
        <rFont val="Calibri"/>
        <color theme="1"/>
        <sz val="16.0"/>
      </rPr>
      <t>Ferry tickets (1-way)</t>
    </r>
  </si>
  <si>
    <r>
      <rPr>
        <rFont val="Calibri"/>
        <color theme="1"/>
        <sz val="16.0"/>
      </rPr>
      <t>Pax</t>
    </r>
  </si>
  <si>
    <r>
      <rPr>
        <rFont val="Calibri"/>
        <color theme="1"/>
        <sz val="16.0"/>
      </rPr>
      <t>No</t>
    </r>
  </si>
  <si>
    <r>
      <rPr>
        <rFont val="Calibri"/>
        <b/>
        <color theme="1"/>
        <sz val="16.0"/>
      </rPr>
      <t>Description</t>
    </r>
  </si>
  <si>
    <r>
      <rPr>
        <rFont val="Calibri"/>
        <b/>
        <color theme="1"/>
        <sz val="16.0"/>
      </rPr>
      <t>Unit</t>
    </r>
  </si>
  <si>
    <r>
      <rPr>
        <rFont val="Calibri"/>
        <b/>
        <color theme="1"/>
        <sz val="16.0"/>
      </rPr>
      <t>Rate</t>
    </r>
  </si>
  <si>
    <r>
      <rPr>
        <rFont val="Calibri"/>
        <b/>
        <color theme="1"/>
        <sz val="16.0"/>
      </rPr>
      <t>A. Accommodation</t>
    </r>
  </si>
  <si>
    <r>
      <rPr>
        <rFont val="Calibri"/>
        <b/>
        <color theme="1"/>
        <sz val="16.0"/>
        <u/>
      </rPr>
      <t>A1. Ijen</t>
    </r>
  </si>
  <si>
    <r>
      <rPr>
        <rFont val="Calibri"/>
        <color theme="1"/>
        <sz val="16.0"/>
      </rPr>
      <t>No</t>
    </r>
  </si>
  <si>
    <r>
      <rPr>
        <rFont val="Calibri"/>
        <color theme="1"/>
        <sz val="16.0"/>
      </rPr>
      <t>No</t>
    </r>
  </si>
  <si>
    <r>
      <rPr>
        <rFont val="Calibri"/>
        <color theme="1"/>
        <sz val="16.0"/>
      </rPr>
      <t>No</t>
    </r>
  </si>
  <si>
    <r>
      <rPr>
        <rFont val="Calibri"/>
        <color theme="1"/>
        <sz val="16.0"/>
      </rPr>
      <t>No</t>
    </r>
  </si>
  <si>
    <r>
      <rPr>
        <rFont val="Calibri"/>
        <color theme="1"/>
        <sz val="16.0"/>
      </rPr>
      <t>No</t>
    </r>
  </si>
  <si>
    <r>
      <rPr>
        <rFont val="Calibri"/>
        <b/>
        <color theme="1"/>
        <sz val="16.0"/>
        <u/>
      </rPr>
      <t>A2. Bromo </t>
    </r>
  </si>
  <si>
    <r>
      <rPr>
        <rFont val="Calibri"/>
        <color theme="1"/>
        <sz val="16.0"/>
      </rPr>
      <t>No</t>
    </r>
  </si>
  <si>
    <r>
      <rPr>
        <rFont val="Calibri"/>
        <color theme="1"/>
        <sz val="16.0"/>
      </rPr>
      <t>No</t>
    </r>
  </si>
  <si>
    <r>
      <rPr>
        <rFont val="Calibri"/>
        <color theme="1"/>
        <sz val="16.0"/>
      </rPr>
      <t>No</t>
    </r>
  </si>
  <si>
    <r>
      <rPr>
        <rFont val="Calibri"/>
        <b/>
        <color theme="1"/>
        <sz val="16.0"/>
        <u/>
      </rPr>
      <t>A3. Lumajang / Malang / Jember</t>
    </r>
  </si>
  <si>
    <r>
      <rPr>
        <rFont val="Calibri"/>
        <color theme="1"/>
        <sz val="16.0"/>
      </rPr>
      <t>No</t>
    </r>
  </si>
  <si>
    <r>
      <rPr>
        <rFont val="Calibri"/>
        <color theme="1"/>
        <sz val="16.0"/>
      </rPr>
      <t>No</t>
    </r>
  </si>
  <si>
    <r>
      <rPr>
        <rFont val="Calibri"/>
        <color theme="1"/>
        <sz val="16.0"/>
      </rPr>
      <t>No</t>
    </r>
  </si>
  <si>
    <r>
      <rPr>
        <rFont val="Calibri"/>
        <color theme="1"/>
        <sz val="16.0"/>
      </rPr>
      <t>No</t>
    </r>
  </si>
  <si>
    <r>
      <rPr>
        <rFont val="Calibri"/>
        <color theme="1"/>
        <sz val="16.0"/>
      </rPr>
      <t>Doho Homestay - Emerald</t>
    </r>
  </si>
  <si>
    <r>
      <rPr>
        <rFont val="Calibri"/>
        <color theme="1"/>
        <sz val="16.0"/>
      </rPr>
      <t>No</t>
    </r>
  </si>
  <si>
    <r>
      <rPr>
        <rFont val="Calibri"/>
        <color theme="1"/>
        <sz val="16.0"/>
      </rPr>
      <t>Doho Homestay - Platinum</t>
    </r>
  </si>
  <si>
    <r>
      <rPr>
        <rFont val="Calibri"/>
        <color theme="1"/>
        <sz val="16.0"/>
      </rPr>
      <t>No</t>
    </r>
  </si>
  <si>
    <r>
      <rPr>
        <rFont val="Calibri"/>
        <color theme="1"/>
        <sz val="16.0"/>
      </rPr>
      <t>Doho Homestay - Family</t>
    </r>
  </si>
  <si>
    <r>
      <rPr>
        <rFont val="Calibri"/>
        <color theme="1"/>
        <sz val="16.0"/>
      </rPr>
      <t>No</t>
    </r>
  </si>
  <si>
    <r>
      <rPr>
        <rFont val="Calibri"/>
        <color theme="1"/>
        <sz val="16.0"/>
      </rPr>
      <t>No</t>
    </r>
  </si>
  <si>
    <r>
      <rPr>
        <rFont val="Calibri"/>
        <color theme="1"/>
        <sz val="16.0"/>
      </rPr>
      <t>No</t>
    </r>
  </si>
  <si>
    <r>
      <rPr>
        <rFont val="Calibri"/>
        <color theme="1"/>
        <sz val="16.0"/>
      </rPr>
      <t>No</t>
    </r>
  </si>
  <si>
    <r>
      <rPr>
        <rFont val="Calibri"/>
        <color theme="1"/>
        <sz val="16.0"/>
      </rPr>
      <t>No</t>
    </r>
  </si>
  <si>
    <r>
      <rPr>
        <rFont val="Calibri"/>
        <b/>
        <color theme="1"/>
        <sz val="16.0"/>
      </rPr>
      <t>B. Activities</t>
    </r>
  </si>
  <si>
    <r>
      <rPr>
        <rFont val="Calibri"/>
        <b/>
        <color theme="1"/>
        <sz val="16.0"/>
        <u/>
      </rPr>
      <t>B1. Ijen</t>
    </r>
  </si>
  <si>
    <r>
      <rPr>
        <rFont val="Calibri"/>
        <color theme="1"/>
        <sz val="16.0"/>
      </rPr>
      <t>Pax</t>
    </r>
  </si>
  <si>
    <r>
      <rPr>
        <rFont val="Calibri"/>
        <color theme="1"/>
        <sz val="16.0"/>
      </rPr>
      <t>Gas Mask</t>
    </r>
  </si>
  <si>
    <r>
      <rPr>
        <rFont val="Calibri"/>
        <color theme="1"/>
        <sz val="16.0"/>
      </rPr>
      <t>Pax</t>
    </r>
  </si>
  <si>
    <r>
      <rPr>
        <rFont val="Calibri"/>
        <color theme="1"/>
        <sz val="16.0"/>
      </rPr>
      <t>Pax</t>
    </r>
  </si>
  <si>
    <r>
      <rPr>
        <rFont val="Calibri"/>
        <color theme="1"/>
        <sz val="16.0"/>
      </rPr>
      <t>No</t>
    </r>
  </si>
  <si>
    <r>
      <rPr>
        <rFont val="Calibri"/>
        <color theme="1"/>
        <sz val="16.0"/>
      </rPr>
      <t>Pax</t>
    </r>
  </si>
  <si>
    <r>
      <rPr>
        <rFont val="Calibri"/>
        <color theme="1"/>
        <sz val="16.0"/>
      </rPr>
      <t>Pax</t>
    </r>
  </si>
  <si>
    <r>
      <rPr>
        <rFont val="Calibri"/>
        <color theme="1"/>
        <sz val="16.0"/>
      </rPr>
      <t>Pax</t>
    </r>
  </si>
  <si>
    <r>
      <rPr>
        <rFont val="Calibri"/>
        <color theme="1"/>
        <sz val="16.0"/>
      </rPr>
      <t>Pax</t>
    </r>
  </si>
  <si>
    <r>
      <rPr>
        <rFont val="Calibri"/>
        <color theme="1"/>
        <sz val="16.0"/>
      </rPr>
      <t>Ijen Certificate</t>
    </r>
  </si>
  <si>
    <r>
      <rPr>
        <rFont val="Calibri"/>
        <color theme="1"/>
        <sz val="16.0"/>
      </rPr>
      <t>No</t>
    </r>
  </si>
  <si>
    <r>
      <rPr>
        <rFont val="Calibri"/>
        <b/>
        <color theme="1"/>
        <sz val="16.0"/>
        <u/>
      </rPr>
      <t>B2. Bromo </t>
    </r>
  </si>
  <si>
    <r>
      <rPr>
        <rFont val="Calibri"/>
        <color theme="1"/>
        <sz val="16.0"/>
      </rPr>
      <t>Pax</t>
    </r>
  </si>
  <si>
    <r>
      <rPr>
        <rFont val="Calibri"/>
        <color theme="1"/>
        <sz val="16.0"/>
      </rPr>
      <t>Bromo - Jeep</t>
    </r>
  </si>
  <si>
    <r>
      <rPr>
        <rFont val="Calibri"/>
        <color theme="1"/>
        <sz val="16.0"/>
      </rPr>
      <t>Pax</t>
    </r>
  </si>
  <si>
    <r>
      <rPr>
        <rFont val="Calibri"/>
        <b/>
        <color theme="1"/>
        <sz val="16.0"/>
        <u/>
      </rPr>
      <t>B4. Tumpak Sewu/ Kapas Biru/ Panorama/ Coban Sriti</t>
    </r>
  </si>
  <si>
    <r>
      <rPr>
        <rFont val="Calibri"/>
        <color theme="1"/>
        <sz val="16.0"/>
      </rPr>
      <t>Tumpak Sewu - Ticket</t>
    </r>
  </si>
  <si>
    <r>
      <rPr>
        <rFont val="Calibri"/>
        <color theme="1"/>
        <sz val="16.0"/>
      </rPr>
      <t>Pax</t>
    </r>
  </si>
  <si>
    <r>
      <rPr>
        <rFont val="Calibri"/>
        <color theme="1"/>
        <sz val="16.0"/>
      </rPr>
      <t>No</t>
    </r>
  </si>
  <si>
    <r>
      <rPr>
        <rFont val="Calibri"/>
        <color theme="1"/>
        <sz val="16.0"/>
      </rPr>
      <t>Yanto's lunch incl drinks</t>
    </r>
  </si>
  <si>
    <r>
      <rPr>
        <rFont val="Calibri"/>
        <color theme="1"/>
        <sz val="16.0"/>
      </rPr>
      <t>Pax</t>
    </r>
  </si>
  <si>
    <r>
      <rPr>
        <rFont val="Calibri"/>
        <b/>
        <color theme="1"/>
        <sz val="16.0"/>
        <u/>
      </rPr>
      <t>C1. Vehicle</t>
    </r>
  </si>
  <si>
    <r>
      <rPr>
        <rFont val="Calibri"/>
        <color theme="1"/>
        <sz val="16.0"/>
      </rPr>
      <t>Avanza</t>
    </r>
  </si>
  <si>
    <r>
      <rPr>
        <rFont val="Calibri"/>
        <color theme="1"/>
        <sz val="16.0"/>
      </rPr>
      <t>Day x Qty</t>
    </r>
  </si>
  <si>
    <r>
      <rPr>
        <rFont val="Calibri"/>
        <color theme="1"/>
        <sz val="16.0"/>
      </rPr>
      <t>Innova</t>
    </r>
  </si>
  <si>
    <r>
      <rPr>
        <rFont val="Calibri"/>
        <color theme="1"/>
        <sz val="16.0"/>
      </rPr>
      <t>Day x Qty</t>
    </r>
  </si>
  <si>
    <r>
      <rPr>
        <rFont val="Calibri"/>
        <color theme="1"/>
        <sz val="16.0"/>
      </rPr>
      <t>Day x Qty</t>
    </r>
  </si>
  <si>
    <r>
      <rPr>
        <rFont val="Calibri"/>
        <color theme="1"/>
        <sz val="16.0"/>
      </rPr>
      <t>Toyota Hiace Premio (4-6pax)</t>
    </r>
  </si>
  <si>
    <r>
      <rPr>
        <rFont val="Calibri"/>
        <color theme="1"/>
        <sz val="16.0"/>
      </rPr>
      <t>Day x Qty</t>
    </r>
  </si>
  <si>
    <r>
      <rPr>
        <rFont val="Calibri"/>
        <color theme="1"/>
        <sz val="16.0"/>
      </rPr>
      <t>Day x Qty</t>
    </r>
  </si>
  <si>
    <r>
      <rPr>
        <rFont val="Calibri"/>
        <b/>
        <color theme="1"/>
        <sz val="16.0"/>
        <u/>
      </rPr>
      <t>C2. Parking and toll</t>
    </r>
  </si>
  <si>
    <r>
      <rPr>
        <rFont val="Calibri"/>
        <color theme="1"/>
        <sz val="16.0"/>
      </rPr>
      <t>Probolingo</t>
    </r>
  </si>
  <si>
    <r>
      <rPr>
        <rFont val="Calibri"/>
        <color theme="1"/>
        <sz val="16.0"/>
      </rPr>
      <t>No</t>
    </r>
  </si>
  <si>
    <r>
      <rPr>
        <rFont val="Calibri"/>
        <color theme="1"/>
        <sz val="16.0"/>
      </rPr>
      <t>No</t>
    </r>
  </si>
  <si>
    <r>
      <rPr>
        <rFont val="Calibri"/>
        <b/>
        <color theme="1"/>
        <sz val="16.0"/>
        <u/>
      </rPr>
      <t>C3. Shuttle service</t>
    </r>
  </si>
  <si>
    <r>
      <rPr>
        <rFont val="Calibri"/>
        <color theme="1"/>
        <sz val="16.0"/>
      </rPr>
      <t>Every 3 pax</t>
    </r>
  </si>
  <si>
    <r>
      <rPr>
        <rFont val="Calibri"/>
        <color theme="1"/>
        <sz val="16.0"/>
      </rPr>
      <t>Trip</t>
    </r>
  </si>
  <si>
    <r>
      <rPr>
        <rFont val="Calibri"/>
        <color theme="1"/>
        <sz val="16.0"/>
      </rPr>
      <t>Trip</t>
    </r>
  </si>
  <si>
    <r>
      <rPr>
        <rFont val="Calibri"/>
        <b/>
        <color theme="1"/>
        <sz val="16.0"/>
        <u/>
      </rPr>
      <t>D1. In house</t>
    </r>
  </si>
  <si>
    <r>
      <rPr>
        <rFont val="Calibri"/>
        <color theme="1"/>
        <sz val="16.0"/>
      </rPr>
      <t>Driver cum guide</t>
    </r>
  </si>
  <si>
    <r>
      <rPr>
        <rFont val="Calibri"/>
        <color theme="1"/>
        <sz val="16.0"/>
      </rPr>
      <t>Day x Qty</t>
    </r>
  </si>
  <si>
    <r>
      <rPr>
        <rFont val="Calibri"/>
        <color theme="1"/>
        <sz val="16.0"/>
      </rPr>
      <t>Day x Qty</t>
    </r>
  </si>
  <si>
    <r>
      <rPr>
        <rFont val="Calibri"/>
        <color theme="1"/>
        <sz val="16.0"/>
      </rPr>
      <t>Day x Qty</t>
    </r>
  </si>
  <si>
    <r>
      <rPr>
        <rFont val="Calibri"/>
        <b/>
        <color theme="1"/>
        <sz val="16.0"/>
        <u/>
      </rPr>
      <t>E1. Miscelleneous</t>
    </r>
  </si>
  <si>
    <r>
      <rPr>
        <rFont val="Calibri"/>
        <color theme="1"/>
        <sz val="16.0"/>
      </rPr>
      <t>Mineral Water</t>
    </r>
  </si>
  <si>
    <r>
      <rPr>
        <rFont val="Calibri"/>
        <color theme="1"/>
        <sz val="16.0"/>
      </rPr>
      <t>T Shirt</t>
    </r>
  </si>
  <si>
    <r>
      <rPr>
        <rFont val="Calibri"/>
        <color theme="1"/>
        <sz val="16.0"/>
      </rPr>
      <t>Pax</t>
    </r>
  </si>
  <si>
    <r>
      <rPr>
        <rFont val="Calibri"/>
        <b/>
        <color theme="1"/>
        <sz val="16.0"/>
        <u/>
      </rPr>
      <t>E2. Police Escort</t>
    </r>
  </si>
  <si>
    <r>
      <rPr>
        <rFont val="Calibri"/>
        <color theme="1"/>
        <sz val="16.0"/>
      </rPr>
      <t>Probolingo &lt;-&gt; Bondowoso / Pasir Putih</t>
    </r>
  </si>
  <si>
    <r>
      <rPr>
        <rFont val="Calibri"/>
        <color theme="1"/>
        <sz val="16.0"/>
      </rPr>
      <t>Trip</t>
    </r>
  </si>
  <si>
    <r>
      <rPr>
        <rFont val="Calibri"/>
        <b/>
        <color theme="1"/>
        <sz val="16.0"/>
        <u/>
      </rPr>
      <t>E3. Bali Transfer</t>
    </r>
  </si>
  <si>
    <r>
      <rPr>
        <rFont val="Calibri"/>
        <color theme="1"/>
        <sz val="16.0"/>
      </rPr>
      <t>Ferry tickets (1-way)</t>
    </r>
  </si>
  <si>
    <r>
      <rPr>
        <rFont val="Calibri"/>
        <color theme="1"/>
        <sz val="16.0"/>
      </rPr>
      <t>Pax</t>
    </r>
  </si>
  <si>
    <r>
      <rPr>
        <rFont val="Calibri"/>
        <color theme="1"/>
        <sz val="16.0"/>
      </rPr>
      <t>No</t>
    </r>
  </si>
  <si>
    <t>Price Per Person</t>
  </si>
  <si>
    <t>4 Day Tumpak Sewu, Bromo &amp; Ijen Adventure from Surabaya to Bali</t>
  </si>
  <si>
    <r>
      <rPr>
        <rFont val="Calibri"/>
        <b/>
        <color theme="1"/>
        <sz val="16.0"/>
      </rPr>
      <t>Description</t>
    </r>
  </si>
  <si>
    <r>
      <rPr>
        <rFont val="Calibri"/>
        <b/>
        <color theme="1"/>
        <sz val="16.0"/>
      </rPr>
      <t>Unit</t>
    </r>
  </si>
  <si>
    <r>
      <rPr>
        <rFont val="Calibri"/>
        <b/>
        <color theme="1"/>
        <sz val="16.0"/>
      </rPr>
      <t>Rate</t>
    </r>
  </si>
  <si>
    <r>
      <rPr>
        <rFont val="Calibri"/>
        <b/>
        <color theme="1"/>
        <sz val="16.0"/>
      </rPr>
      <t>A. Accommodation</t>
    </r>
  </si>
  <si>
    <r>
      <rPr>
        <rFont val="Calibri"/>
        <b/>
        <color theme="1"/>
        <sz val="16.0"/>
        <u/>
      </rPr>
      <t>A1. Ijen</t>
    </r>
  </si>
  <si>
    <r>
      <rPr>
        <rFont val="Calibri"/>
        <color theme="1"/>
        <sz val="16.0"/>
      </rPr>
      <t>No</t>
    </r>
  </si>
  <si>
    <r>
      <rPr>
        <rFont val="Calibri"/>
        <color theme="1"/>
        <sz val="16.0"/>
      </rPr>
      <t>No</t>
    </r>
  </si>
  <si>
    <r>
      <rPr>
        <rFont val="Calibri"/>
        <color theme="1"/>
        <sz val="16.0"/>
      </rPr>
      <t>No</t>
    </r>
  </si>
  <si>
    <r>
      <rPr>
        <rFont val="Calibri"/>
        <color theme="1"/>
        <sz val="16.0"/>
      </rPr>
      <t>No</t>
    </r>
  </si>
  <si>
    <r>
      <rPr>
        <rFont val="Calibri"/>
        <color theme="1"/>
        <sz val="16.0"/>
      </rPr>
      <t>No</t>
    </r>
  </si>
  <si>
    <r>
      <rPr>
        <rFont val="Calibri"/>
        <b/>
        <color theme="1"/>
        <sz val="16.0"/>
        <u/>
      </rPr>
      <t>A2. Bromo </t>
    </r>
  </si>
  <si>
    <r>
      <rPr>
        <rFont val="Calibri"/>
        <color theme="1"/>
        <sz val="16.0"/>
      </rPr>
      <t>No</t>
    </r>
  </si>
  <si>
    <r>
      <rPr>
        <rFont val="Calibri"/>
        <color theme="1"/>
        <sz val="16.0"/>
      </rPr>
      <t>No</t>
    </r>
  </si>
  <si>
    <r>
      <rPr>
        <rFont val="Calibri"/>
        <color theme="1"/>
        <sz val="16.0"/>
      </rPr>
      <t>No</t>
    </r>
  </si>
  <si>
    <r>
      <rPr>
        <rFont val="Calibri"/>
        <b/>
        <color theme="1"/>
        <sz val="16.0"/>
        <u/>
      </rPr>
      <t>A3. Lumajang / Malang / Jember</t>
    </r>
  </si>
  <si>
    <r>
      <rPr>
        <rFont val="Calibri"/>
        <color theme="1"/>
        <sz val="16.0"/>
      </rPr>
      <t>No</t>
    </r>
  </si>
  <si>
    <r>
      <rPr>
        <rFont val="Calibri"/>
        <color theme="1"/>
        <sz val="16.0"/>
      </rPr>
      <t>No</t>
    </r>
  </si>
  <si>
    <r>
      <rPr>
        <rFont val="Calibri"/>
        <color theme="1"/>
        <sz val="16.0"/>
      </rPr>
      <t>No</t>
    </r>
  </si>
  <si>
    <r>
      <rPr>
        <rFont val="Calibri"/>
        <color theme="1"/>
        <sz val="16.0"/>
      </rPr>
      <t>No</t>
    </r>
  </si>
  <si>
    <r>
      <rPr>
        <rFont val="Calibri"/>
        <color theme="1"/>
        <sz val="16.0"/>
      </rPr>
      <t>Doho Homestay - Emerald</t>
    </r>
  </si>
  <si>
    <r>
      <rPr>
        <rFont val="Calibri"/>
        <color theme="1"/>
        <sz val="16.0"/>
      </rPr>
      <t>No</t>
    </r>
  </si>
  <si>
    <r>
      <rPr>
        <rFont val="Calibri"/>
        <color theme="1"/>
        <sz val="16.0"/>
      </rPr>
      <t>Doho Homestay - Platinum</t>
    </r>
  </si>
  <si>
    <r>
      <rPr>
        <rFont val="Calibri"/>
        <color theme="1"/>
        <sz val="16.0"/>
      </rPr>
      <t>No</t>
    </r>
  </si>
  <si>
    <r>
      <rPr>
        <rFont val="Calibri"/>
        <color theme="1"/>
        <sz val="16.0"/>
      </rPr>
      <t>Doho Homestay - Family</t>
    </r>
  </si>
  <si>
    <r>
      <rPr>
        <rFont val="Calibri"/>
        <color theme="1"/>
        <sz val="16.0"/>
      </rPr>
      <t>No</t>
    </r>
  </si>
  <si>
    <r>
      <rPr>
        <rFont val="Calibri"/>
        <color theme="1"/>
        <sz val="16.0"/>
      </rPr>
      <t>No</t>
    </r>
  </si>
  <si>
    <r>
      <rPr>
        <rFont val="Calibri"/>
        <color theme="1"/>
        <sz val="16.0"/>
      </rPr>
      <t>No</t>
    </r>
  </si>
  <si>
    <r>
      <rPr>
        <rFont val="Calibri"/>
        <color theme="1"/>
        <sz val="16.0"/>
      </rPr>
      <t>No</t>
    </r>
  </si>
  <si>
    <r>
      <rPr>
        <rFont val="Calibri"/>
        <color theme="1"/>
        <sz val="16.0"/>
      </rPr>
      <t>No</t>
    </r>
  </si>
  <si>
    <r>
      <rPr>
        <rFont val="Calibri"/>
        <b/>
        <color theme="1"/>
        <sz val="16.0"/>
      </rPr>
      <t>B. Activities</t>
    </r>
  </si>
  <si>
    <r>
      <rPr>
        <rFont val="Calibri"/>
        <b/>
        <color theme="1"/>
        <sz val="16.0"/>
        <u/>
      </rPr>
      <t>B1. Ijen</t>
    </r>
  </si>
  <si>
    <r>
      <rPr>
        <rFont val="Calibri"/>
        <color theme="1"/>
        <sz val="16.0"/>
      </rPr>
      <t>Pax</t>
    </r>
  </si>
  <si>
    <r>
      <rPr>
        <rFont val="Calibri"/>
        <color theme="1"/>
        <sz val="16.0"/>
      </rPr>
      <t>Gas Mask</t>
    </r>
  </si>
  <si>
    <r>
      <rPr>
        <rFont val="Calibri"/>
        <color theme="1"/>
        <sz val="16.0"/>
      </rPr>
      <t>Pax</t>
    </r>
  </si>
  <si>
    <r>
      <rPr>
        <rFont val="Calibri"/>
        <color theme="1"/>
        <sz val="16.0"/>
      </rPr>
      <t>Pax</t>
    </r>
  </si>
  <si>
    <r>
      <rPr>
        <rFont val="Calibri"/>
        <color theme="1"/>
        <sz val="16.0"/>
      </rPr>
      <t>No</t>
    </r>
  </si>
  <si>
    <r>
      <rPr>
        <rFont val="Calibri"/>
        <color theme="1"/>
        <sz val="16.0"/>
      </rPr>
      <t>Pax</t>
    </r>
  </si>
  <si>
    <r>
      <rPr>
        <rFont val="Calibri"/>
        <color theme="1"/>
        <sz val="16.0"/>
      </rPr>
      <t>Pax</t>
    </r>
  </si>
  <si>
    <r>
      <rPr>
        <rFont val="Calibri"/>
        <color theme="1"/>
        <sz val="16.0"/>
      </rPr>
      <t>Pax</t>
    </r>
  </si>
  <si>
    <r>
      <rPr>
        <rFont val="Calibri"/>
        <color theme="1"/>
        <sz val="16.0"/>
      </rPr>
      <t>Pax</t>
    </r>
  </si>
  <si>
    <r>
      <rPr>
        <rFont val="Calibri"/>
        <color theme="1"/>
        <sz val="16.0"/>
      </rPr>
      <t>Ijen Certificate</t>
    </r>
  </si>
  <si>
    <r>
      <rPr>
        <rFont val="Calibri"/>
        <color theme="1"/>
        <sz val="16.0"/>
      </rPr>
      <t>No</t>
    </r>
  </si>
  <si>
    <r>
      <rPr>
        <rFont val="Calibri"/>
        <b/>
        <color theme="1"/>
        <sz val="16.0"/>
        <u/>
      </rPr>
      <t>B2. Bromo </t>
    </r>
  </si>
  <si>
    <r>
      <rPr>
        <rFont val="Calibri"/>
        <color theme="1"/>
        <sz val="16.0"/>
      </rPr>
      <t>Pax</t>
    </r>
  </si>
  <si>
    <r>
      <rPr>
        <rFont val="Calibri"/>
        <color theme="1"/>
        <sz val="16.0"/>
      </rPr>
      <t>Bromo - Jeep</t>
    </r>
  </si>
  <si>
    <r>
      <rPr>
        <rFont val="Calibri"/>
        <color theme="1"/>
        <sz val="16.0"/>
      </rPr>
      <t>Pax</t>
    </r>
  </si>
  <si>
    <r>
      <rPr>
        <rFont val="Calibri"/>
        <b/>
        <color theme="1"/>
        <sz val="16.0"/>
        <u/>
      </rPr>
      <t>B4. Tumpak Sewu/ Kapas Biru/ Panorama/ Coban Sriti</t>
    </r>
  </si>
  <si>
    <r>
      <rPr>
        <rFont val="Calibri"/>
        <color theme="1"/>
        <sz val="16.0"/>
      </rPr>
      <t>Tumpak Sewu - Ticket</t>
    </r>
  </si>
  <si>
    <r>
      <rPr>
        <rFont val="Calibri"/>
        <color theme="1"/>
        <sz val="16.0"/>
      </rPr>
      <t>Pax</t>
    </r>
  </si>
  <si>
    <r>
      <rPr>
        <rFont val="Calibri"/>
        <color theme="1"/>
        <sz val="16.0"/>
      </rPr>
      <t>No</t>
    </r>
  </si>
  <si>
    <r>
      <rPr>
        <rFont val="Calibri"/>
        <color theme="1"/>
        <sz val="16.0"/>
      </rPr>
      <t>Yanto's lunch incl drinks</t>
    </r>
  </si>
  <si>
    <r>
      <rPr>
        <rFont val="Calibri"/>
        <color theme="1"/>
        <sz val="16.0"/>
      </rPr>
      <t>Pax</t>
    </r>
  </si>
  <si>
    <r>
      <rPr>
        <rFont val="Calibri"/>
        <b/>
        <color theme="1"/>
        <sz val="16.0"/>
        <u/>
      </rPr>
      <t>C1. Vehicle</t>
    </r>
  </si>
  <si>
    <r>
      <rPr>
        <rFont val="Calibri"/>
        <color theme="1"/>
        <sz val="16.0"/>
      </rPr>
      <t>Avanza</t>
    </r>
  </si>
  <si>
    <r>
      <rPr>
        <rFont val="Calibri"/>
        <color theme="1"/>
        <sz val="16.0"/>
      </rPr>
      <t>Day x Qty</t>
    </r>
  </si>
  <si>
    <r>
      <rPr>
        <rFont val="Calibri"/>
        <color theme="1"/>
        <sz val="16.0"/>
      </rPr>
      <t>Innova</t>
    </r>
  </si>
  <si>
    <r>
      <rPr>
        <rFont val="Calibri"/>
        <color theme="1"/>
        <sz val="16.0"/>
      </rPr>
      <t>Day x Qty</t>
    </r>
  </si>
  <si>
    <r>
      <rPr>
        <rFont val="Calibri"/>
        <color theme="1"/>
        <sz val="16.0"/>
      </rPr>
      <t>Day x Qty</t>
    </r>
  </si>
  <si>
    <r>
      <rPr>
        <rFont val="Calibri"/>
        <color theme="1"/>
        <sz val="16.0"/>
      </rPr>
      <t>Toyota Hiace Premio (4-6pax)</t>
    </r>
  </si>
  <si>
    <r>
      <rPr>
        <rFont val="Calibri"/>
        <color theme="1"/>
        <sz val="16.0"/>
      </rPr>
      <t>Day x Qty</t>
    </r>
  </si>
  <si>
    <r>
      <rPr>
        <rFont val="Calibri"/>
        <color theme="1"/>
        <sz val="16.0"/>
      </rPr>
      <t>Day x Qty</t>
    </r>
  </si>
  <si>
    <r>
      <rPr>
        <rFont val="Calibri"/>
        <b/>
        <color theme="1"/>
        <sz val="16.0"/>
        <u/>
      </rPr>
      <t>C2. Parking and toll</t>
    </r>
  </si>
  <si>
    <r>
      <rPr>
        <rFont val="Calibri"/>
        <color theme="1"/>
        <sz val="16.0"/>
      </rPr>
      <t>Probolingo</t>
    </r>
  </si>
  <si>
    <r>
      <rPr>
        <rFont val="Calibri"/>
        <color theme="1"/>
        <sz val="16.0"/>
      </rPr>
      <t>No</t>
    </r>
  </si>
  <si>
    <r>
      <rPr>
        <rFont val="Calibri"/>
        <color theme="1"/>
        <sz val="16.0"/>
      </rPr>
      <t>No</t>
    </r>
  </si>
  <si>
    <r>
      <rPr>
        <rFont val="Calibri"/>
        <b/>
        <color theme="1"/>
        <sz val="16.0"/>
        <u/>
      </rPr>
      <t>C3. Shuttle service</t>
    </r>
  </si>
  <si>
    <r>
      <rPr>
        <rFont val="Calibri"/>
        <color theme="1"/>
        <sz val="16.0"/>
      </rPr>
      <t>Every 3 pax</t>
    </r>
  </si>
  <si>
    <r>
      <rPr>
        <rFont val="Calibri"/>
        <color theme="1"/>
        <sz val="16.0"/>
      </rPr>
      <t>Trip</t>
    </r>
  </si>
  <si>
    <r>
      <rPr>
        <rFont val="Calibri"/>
        <color theme="1"/>
        <sz val="16.0"/>
      </rPr>
      <t>Trip</t>
    </r>
  </si>
  <si>
    <r>
      <rPr>
        <rFont val="Calibri"/>
        <b/>
        <color theme="1"/>
        <sz val="16.0"/>
        <u/>
      </rPr>
      <t>D1. In house</t>
    </r>
  </si>
  <si>
    <r>
      <rPr>
        <rFont val="Calibri"/>
        <color theme="1"/>
        <sz val="16.0"/>
      </rPr>
      <t>Driver cum guide</t>
    </r>
  </si>
  <si>
    <r>
      <rPr>
        <rFont val="Calibri"/>
        <color theme="1"/>
        <sz val="16.0"/>
      </rPr>
      <t>Day x Qty</t>
    </r>
  </si>
  <si>
    <r>
      <rPr>
        <rFont val="Calibri"/>
        <color theme="1"/>
        <sz val="16.0"/>
      </rPr>
      <t>Day x Qty</t>
    </r>
  </si>
  <si>
    <r>
      <rPr>
        <rFont val="Calibri"/>
        <color theme="1"/>
        <sz val="16.0"/>
      </rPr>
      <t>Day x Qty</t>
    </r>
  </si>
  <si>
    <r>
      <rPr>
        <rFont val="Calibri"/>
        <b/>
        <color theme="1"/>
        <sz val="16.0"/>
        <u/>
      </rPr>
      <t>E1. Miscelleneous</t>
    </r>
  </si>
  <si>
    <r>
      <rPr>
        <rFont val="Calibri"/>
        <color theme="1"/>
        <sz val="16.0"/>
      </rPr>
      <t>Mineral Water</t>
    </r>
  </si>
  <si>
    <r>
      <rPr>
        <rFont val="Calibri"/>
        <color theme="1"/>
        <sz val="16.0"/>
      </rPr>
      <t>T Shirt</t>
    </r>
  </si>
  <si>
    <r>
      <rPr>
        <rFont val="Calibri"/>
        <color theme="1"/>
        <sz val="16.0"/>
      </rPr>
      <t>Pax</t>
    </r>
  </si>
  <si>
    <r>
      <rPr>
        <rFont val="Calibri"/>
        <b/>
        <color theme="1"/>
        <sz val="16.0"/>
        <u/>
      </rPr>
      <t>E2. Police Escort</t>
    </r>
  </si>
  <si>
    <r>
      <rPr>
        <rFont val="Calibri"/>
        <color theme="1"/>
        <sz val="16.0"/>
      </rPr>
      <t>Probolingo &lt;-&gt; Bondowoso / Pasir Putih</t>
    </r>
  </si>
  <si>
    <r>
      <rPr>
        <rFont val="Calibri"/>
        <color theme="1"/>
        <sz val="16.0"/>
      </rPr>
      <t>Trip</t>
    </r>
  </si>
  <si>
    <r>
      <rPr>
        <rFont val="Calibri"/>
        <b/>
        <color theme="1"/>
        <sz val="16.0"/>
        <u/>
      </rPr>
      <t>E3. Bali Transfer</t>
    </r>
  </si>
  <si>
    <r>
      <rPr>
        <rFont val="Calibri"/>
        <color theme="1"/>
        <sz val="16.0"/>
      </rPr>
      <t>Ferry tickets (1-way)</t>
    </r>
  </si>
  <si>
    <r>
      <rPr>
        <rFont val="Calibri"/>
        <color theme="1"/>
        <sz val="16.0"/>
      </rPr>
      <t>Pax</t>
    </r>
  </si>
  <si>
    <r>
      <rPr>
        <rFont val="Calibri"/>
        <color theme="1"/>
        <sz val="16.0"/>
      </rPr>
      <t>No</t>
    </r>
  </si>
  <si>
    <r>
      <rPr>
        <rFont val="Calibri"/>
        <b/>
        <color theme="1"/>
        <sz val="16.0"/>
      </rPr>
      <t>Description</t>
    </r>
  </si>
  <si>
    <r>
      <rPr>
        <rFont val="Calibri"/>
        <b/>
        <color theme="1"/>
        <sz val="16.0"/>
      </rPr>
      <t>Unit</t>
    </r>
  </si>
  <si>
    <r>
      <rPr>
        <rFont val="Calibri"/>
        <b/>
        <color theme="1"/>
        <sz val="16.0"/>
      </rPr>
      <t>Rate</t>
    </r>
  </si>
  <si>
    <r>
      <rPr>
        <rFont val="Calibri"/>
        <b/>
        <color theme="1"/>
        <sz val="16.0"/>
      </rPr>
      <t>A. Accommodation</t>
    </r>
  </si>
  <si>
    <r>
      <rPr>
        <rFont val="Calibri"/>
        <b/>
        <color theme="1"/>
        <sz val="16.0"/>
        <u/>
      </rPr>
      <t>A1. Ijen</t>
    </r>
  </si>
  <si>
    <r>
      <rPr>
        <rFont val="Calibri"/>
        <color theme="1"/>
        <sz val="16.0"/>
      </rPr>
      <t>No</t>
    </r>
  </si>
  <si>
    <r>
      <rPr>
        <rFont val="Calibri"/>
        <color theme="1"/>
        <sz val="16.0"/>
      </rPr>
      <t>No</t>
    </r>
  </si>
  <si>
    <r>
      <rPr>
        <rFont val="Calibri"/>
        <color theme="1"/>
        <sz val="16.0"/>
      </rPr>
      <t>No</t>
    </r>
  </si>
  <si>
    <r>
      <rPr>
        <rFont val="Calibri"/>
        <color theme="1"/>
        <sz val="16.0"/>
      </rPr>
      <t>No</t>
    </r>
  </si>
  <si>
    <r>
      <rPr>
        <rFont val="Calibri"/>
        <color theme="1"/>
        <sz val="16.0"/>
      </rPr>
      <t>No</t>
    </r>
  </si>
  <si>
    <r>
      <rPr>
        <rFont val="Calibri"/>
        <b/>
        <color theme="1"/>
        <sz val="16.0"/>
        <u/>
      </rPr>
      <t>A2. Bromo </t>
    </r>
  </si>
  <si>
    <r>
      <rPr>
        <rFont val="Calibri"/>
        <color theme="1"/>
        <sz val="16.0"/>
      </rPr>
      <t>No</t>
    </r>
  </si>
  <si>
    <r>
      <rPr>
        <rFont val="Calibri"/>
        <color theme="1"/>
        <sz val="16.0"/>
      </rPr>
      <t>No</t>
    </r>
  </si>
  <si>
    <r>
      <rPr>
        <rFont val="Calibri"/>
        <color theme="1"/>
        <sz val="16.0"/>
      </rPr>
      <t>No</t>
    </r>
  </si>
  <si>
    <r>
      <rPr>
        <rFont val="Calibri"/>
        <b/>
        <color theme="1"/>
        <sz val="16.0"/>
        <u/>
      </rPr>
      <t>A3. Lumajang / Malang / Jember</t>
    </r>
  </si>
  <si>
    <r>
      <rPr>
        <rFont val="Calibri"/>
        <color theme="1"/>
        <sz val="16.0"/>
      </rPr>
      <t>No</t>
    </r>
  </si>
  <si>
    <r>
      <rPr>
        <rFont val="Calibri"/>
        <color theme="1"/>
        <sz val="16.0"/>
      </rPr>
      <t>No</t>
    </r>
  </si>
  <si>
    <r>
      <rPr>
        <rFont val="Calibri"/>
        <color theme="1"/>
        <sz val="16.0"/>
      </rPr>
      <t>No</t>
    </r>
  </si>
  <si>
    <r>
      <rPr>
        <rFont val="Calibri"/>
        <color theme="1"/>
        <sz val="16.0"/>
      </rPr>
      <t>No</t>
    </r>
  </si>
  <si>
    <r>
      <rPr>
        <rFont val="Calibri"/>
        <color theme="1"/>
        <sz val="16.0"/>
      </rPr>
      <t>Doho Homestay - Emerald</t>
    </r>
  </si>
  <si>
    <r>
      <rPr>
        <rFont val="Calibri"/>
        <color theme="1"/>
        <sz val="16.0"/>
      </rPr>
      <t>No</t>
    </r>
  </si>
  <si>
    <r>
      <rPr>
        <rFont val="Calibri"/>
        <color theme="1"/>
        <sz val="16.0"/>
      </rPr>
      <t>Doho Homestay - Platinum</t>
    </r>
  </si>
  <si>
    <r>
      <rPr>
        <rFont val="Calibri"/>
        <color theme="1"/>
        <sz val="16.0"/>
      </rPr>
      <t>No</t>
    </r>
  </si>
  <si>
    <r>
      <rPr>
        <rFont val="Calibri"/>
        <color theme="1"/>
        <sz val="16.0"/>
      </rPr>
      <t>Doho Homestay - Family</t>
    </r>
  </si>
  <si>
    <r>
      <rPr>
        <rFont val="Calibri"/>
        <color theme="1"/>
        <sz val="16.0"/>
      </rPr>
      <t>No</t>
    </r>
  </si>
  <si>
    <r>
      <rPr>
        <rFont val="Calibri"/>
        <color theme="1"/>
        <sz val="16.0"/>
      </rPr>
      <t>No</t>
    </r>
  </si>
  <si>
    <r>
      <rPr>
        <rFont val="Calibri"/>
        <color theme="1"/>
        <sz val="16.0"/>
      </rPr>
      <t>No</t>
    </r>
  </si>
  <si>
    <r>
      <rPr>
        <rFont val="Calibri"/>
        <color theme="1"/>
        <sz val="16.0"/>
      </rPr>
      <t>No</t>
    </r>
  </si>
  <si>
    <r>
      <rPr>
        <rFont val="Calibri"/>
        <color theme="1"/>
        <sz val="16.0"/>
      </rPr>
      <t>No</t>
    </r>
  </si>
  <si>
    <r>
      <rPr>
        <rFont val="Calibri"/>
        <b/>
        <color theme="1"/>
        <sz val="16.0"/>
      </rPr>
      <t>B. Activities</t>
    </r>
  </si>
  <si>
    <r>
      <rPr>
        <rFont val="Calibri"/>
        <b/>
        <color theme="1"/>
        <sz val="16.0"/>
        <u/>
      </rPr>
      <t>B1. Ijen</t>
    </r>
  </si>
  <si>
    <r>
      <rPr>
        <rFont val="Calibri"/>
        <color theme="1"/>
        <sz val="16.0"/>
      </rPr>
      <t>Pax</t>
    </r>
  </si>
  <si>
    <r>
      <rPr>
        <rFont val="Calibri"/>
        <color theme="1"/>
        <sz val="16.0"/>
      </rPr>
      <t>Gas Mask</t>
    </r>
  </si>
  <si>
    <r>
      <rPr>
        <rFont val="Calibri"/>
        <color theme="1"/>
        <sz val="16.0"/>
      </rPr>
      <t>Pax</t>
    </r>
  </si>
  <si>
    <r>
      <rPr>
        <rFont val="Calibri"/>
        <color theme="1"/>
        <sz val="16.0"/>
      </rPr>
      <t>Pax</t>
    </r>
  </si>
  <si>
    <r>
      <rPr>
        <rFont val="Calibri"/>
        <color theme="1"/>
        <sz val="16.0"/>
      </rPr>
      <t>No</t>
    </r>
  </si>
  <si>
    <r>
      <rPr>
        <rFont val="Calibri"/>
        <color theme="1"/>
        <sz val="16.0"/>
      </rPr>
      <t>Pax</t>
    </r>
  </si>
  <si>
    <r>
      <rPr>
        <rFont val="Calibri"/>
        <color theme="1"/>
        <sz val="16.0"/>
      </rPr>
      <t>Pax</t>
    </r>
  </si>
  <si>
    <r>
      <rPr>
        <rFont val="Calibri"/>
        <color theme="1"/>
        <sz val="16.0"/>
      </rPr>
      <t>Pax</t>
    </r>
  </si>
  <si>
    <r>
      <rPr>
        <rFont val="Calibri"/>
        <color theme="1"/>
        <sz val="16.0"/>
      </rPr>
      <t>Pax</t>
    </r>
  </si>
  <si>
    <r>
      <rPr>
        <rFont val="Calibri"/>
        <color theme="1"/>
        <sz val="16.0"/>
      </rPr>
      <t>Ijen Certificate</t>
    </r>
  </si>
  <si>
    <r>
      <rPr>
        <rFont val="Calibri"/>
        <color theme="1"/>
        <sz val="16.0"/>
      </rPr>
      <t>No</t>
    </r>
  </si>
  <si>
    <r>
      <rPr>
        <rFont val="Calibri"/>
        <b/>
        <color theme="1"/>
        <sz val="16.0"/>
        <u/>
      </rPr>
      <t>B2. Bromo </t>
    </r>
  </si>
  <si>
    <r>
      <rPr>
        <rFont val="Calibri"/>
        <color theme="1"/>
        <sz val="16.0"/>
      </rPr>
      <t>Pax</t>
    </r>
  </si>
  <si>
    <r>
      <rPr>
        <rFont val="Calibri"/>
        <color theme="1"/>
        <sz val="16.0"/>
      </rPr>
      <t>Bromo - Jeep</t>
    </r>
  </si>
  <si>
    <r>
      <rPr>
        <rFont val="Calibri"/>
        <color theme="1"/>
        <sz val="16.0"/>
      </rPr>
      <t>Pax</t>
    </r>
  </si>
  <si>
    <r>
      <rPr>
        <rFont val="Calibri"/>
        <b/>
        <color theme="1"/>
        <sz val="16.0"/>
        <u/>
      </rPr>
      <t>B4. Tumpak Sewu/ Kapas Biru/ Panorama/ Coban Sriti</t>
    </r>
  </si>
  <si>
    <r>
      <rPr>
        <rFont val="Calibri"/>
        <color theme="1"/>
        <sz val="16.0"/>
      </rPr>
      <t>Tumpak Sewu - Ticket</t>
    </r>
  </si>
  <si>
    <r>
      <rPr>
        <rFont val="Calibri"/>
        <color theme="1"/>
        <sz val="16.0"/>
      </rPr>
      <t>Pax</t>
    </r>
  </si>
  <si>
    <r>
      <rPr>
        <rFont val="Calibri"/>
        <color theme="1"/>
        <sz val="16.0"/>
      </rPr>
      <t>No</t>
    </r>
  </si>
  <si>
    <r>
      <rPr>
        <rFont val="Calibri"/>
        <color theme="1"/>
        <sz val="16.0"/>
      </rPr>
      <t>Yanto's lunch incl drinks</t>
    </r>
  </si>
  <si>
    <r>
      <rPr>
        <rFont val="Calibri"/>
        <color theme="1"/>
        <sz val="16.0"/>
      </rPr>
      <t>Pax</t>
    </r>
  </si>
  <si>
    <r>
      <rPr>
        <rFont val="Calibri"/>
        <b/>
        <color theme="1"/>
        <sz val="16.0"/>
        <u/>
      </rPr>
      <t>C1. Vehicle</t>
    </r>
  </si>
  <si>
    <r>
      <rPr>
        <rFont val="Calibri"/>
        <color theme="1"/>
        <sz val="16.0"/>
      </rPr>
      <t>Avanza</t>
    </r>
  </si>
  <si>
    <r>
      <rPr>
        <rFont val="Calibri"/>
        <color theme="1"/>
        <sz val="16.0"/>
      </rPr>
      <t>Day x Qty</t>
    </r>
  </si>
  <si>
    <r>
      <rPr>
        <rFont val="Calibri"/>
        <color theme="1"/>
        <sz val="16.0"/>
      </rPr>
      <t>Innova</t>
    </r>
  </si>
  <si>
    <r>
      <rPr>
        <rFont val="Calibri"/>
        <color theme="1"/>
        <sz val="16.0"/>
      </rPr>
      <t>Day x Qty</t>
    </r>
  </si>
  <si>
    <r>
      <rPr>
        <rFont val="Calibri"/>
        <color theme="1"/>
        <sz val="16.0"/>
      </rPr>
      <t>Day x Qty</t>
    </r>
  </si>
  <si>
    <r>
      <rPr>
        <rFont val="Calibri"/>
        <color theme="1"/>
        <sz val="16.0"/>
      </rPr>
      <t>Toyota Hiace Premio (4-6pax)</t>
    </r>
  </si>
  <si>
    <r>
      <rPr>
        <rFont val="Calibri"/>
        <color theme="1"/>
        <sz val="16.0"/>
      </rPr>
      <t>Day x Qty</t>
    </r>
  </si>
  <si>
    <r>
      <rPr>
        <rFont val="Calibri"/>
        <color theme="1"/>
        <sz val="16.0"/>
      </rPr>
      <t>Day x Qty</t>
    </r>
  </si>
  <si>
    <r>
      <rPr>
        <rFont val="Calibri"/>
        <b/>
        <color theme="1"/>
        <sz val="16.0"/>
        <u/>
      </rPr>
      <t>C2. Parking and toll</t>
    </r>
  </si>
  <si>
    <r>
      <rPr>
        <rFont val="Calibri"/>
        <color theme="1"/>
        <sz val="16.0"/>
      </rPr>
      <t>Probolingo</t>
    </r>
  </si>
  <si>
    <r>
      <rPr>
        <rFont val="Calibri"/>
        <color theme="1"/>
        <sz val="16.0"/>
      </rPr>
      <t>No</t>
    </r>
  </si>
  <si>
    <r>
      <rPr>
        <rFont val="Calibri"/>
        <color theme="1"/>
        <sz val="16.0"/>
      </rPr>
      <t>No</t>
    </r>
  </si>
  <si>
    <r>
      <rPr>
        <rFont val="Calibri"/>
        <b/>
        <color theme="1"/>
        <sz val="16.0"/>
        <u/>
      </rPr>
      <t>C3. Shuttle service</t>
    </r>
  </si>
  <si>
    <r>
      <rPr>
        <rFont val="Calibri"/>
        <color theme="1"/>
        <sz val="16.0"/>
      </rPr>
      <t>Every 3 pax</t>
    </r>
  </si>
  <si>
    <r>
      <rPr>
        <rFont val="Calibri"/>
        <color theme="1"/>
        <sz val="16.0"/>
      </rPr>
      <t>Trip</t>
    </r>
  </si>
  <si>
    <r>
      <rPr>
        <rFont val="Calibri"/>
        <color theme="1"/>
        <sz val="16.0"/>
      </rPr>
      <t>Trip</t>
    </r>
  </si>
  <si>
    <r>
      <rPr>
        <rFont val="Calibri"/>
        <b/>
        <color theme="1"/>
        <sz val="16.0"/>
        <u/>
      </rPr>
      <t>D1. In house</t>
    </r>
  </si>
  <si>
    <r>
      <rPr>
        <rFont val="Calibri"/>
        <color theme="1"/>
        <sz val="16.0"/>
      </rPr>
      <t>Driver cum guide</t>
    </r>
  </si>
  <si>
    <r>
      <rPr>
        <rFont val="Calibri"/>
        <color theme="1"/>
        <sz val="16.0"/>
      </rPr>
      <t>Day x Qty</t>
    </r>
  </si>
  <si>
    <r>
      <rPr>
        <rFont val="Calibri"/>
        <color theme="1"/>
        <sz val="16.0"/>
      </rPr>
      <t>Day x Qty</t>
    </r>
  </si>
  <si>
    <r>
      <rPr>
        <rFont val="Calibri"/>
        <color theme="1"/>
        <sz val="16.0"/>
      </rPr>
      <t>Day x Qty</t>
    </r>
  </si>
  <si>
    <r>
      <rPr>
        <rFont val="Calibri"/>
        <b/>
        <color theme="1"/>
        <sz val="16.0"/>
        <u/>
      </rPr>
      <t>E1. Miscelleneous</t>
    </r>
  </si>
  <si>
    <r>
      <rPr>
        <rFont val="Calibri"/>
        <color theme="1"/>
        <sz val="16.0"/>
      </rPr>
      <t>Mineral Water</t>
    </r>
  </si>
  <si>
    <r>
      <rPr>
        <rFont val="Calibri"/>
        <color theme="1"/>
        <sz val="16.0"/>
      </rPr>
      <t>T Shirt</t>
    </r>
  </si>
  <si>
    <r>
      <rPr>
        <rFont val="Calibri"/>
        <color theme="1"/>
        <sz val="16.0"/>
      </rPr>
      <t>Pax</t>
    </r>
  </si>
  <si>
    <r>
      <rPr>
        <rFont val="Calibri"/>
        <b/>
        <color theme="1"/>
        <sz val="16.0"/>
        <u/>
      </rPr>
      <t>E2. Police Escort</t>
    </r>
  </si>
  <si>
    <r>
      <rPr>
        <rFont val="Calibri"/>
        <color theme="1"/>
        <sz val="16.0"/>
      </rPr>
      <t>Probolingo &lt;-&gt; Bondowoso / Pasir Putih</t>
    </r>
  </si>
  <si>
    <r>
      <rPr>
        <rFont val="Calibri"/>
        <color theme="1"/>
        <sz val="16.0"/>
      </rPr>
      <t>Trip</t>
    </r>
  </si>
  <si>
    <r>
      <rPr>
        <rFont val="Calibri"/>
        <b/>
        <color theme="1"/>
        <sz val="16.0"/>
        <u/>
      </rPr>
      <t>E3. Bali Transfer</t>
    </r>
  </si>
  <si>
    <r>
      <rPr>
        <rFont val="Calibri"/>
        <color theme="1"/>
        <sz val="16.0"/>
      </rPr>
      <t>Ferry tickets (1-way)</t>
    </r>
  </si>
  <si>
    <r>
      <rPr>
        <rFont val="Calibri"/>
        <color theme="1"/>
        <sz val="16.0"/>
      </rPr>
      <t>Pax</t>
    </r>
  </si>
  <si>
    <r>
      <rPr>
        <rFont val="Calibri"/>
        <color theme="1"/>
        <sz val="16.0"/>
      </rPr>
      <t>No</t>
    </r>
  </si>
  <si>
    <r>
      <rPr>
        <rFont val="Calibri"/>
        <b/>
        <color theme="1"/>
        <sz val="16.0"/>
      </rPr>
      <t>Description</t>
    </r>
  </si>
  <si>
    <r>
      <rPr>
        <rFont val="Calibri"/>
        <b/>
        <color theme="1"/>
        <sz val="16.0"/>
      </rPr>
      <t>Unit</t>
    </r>
  </si>
  <si>
    <r>
      <rPr>
        <rFont val="Calibri"/>
        <b/>
        <color theme="1"/>
        <sz val="16.0"/>
      </rPr>
      <t>Rate</t>
    </r>
  </si>
  <si>
    <r>
      <rPr>
        <rFont val="Calibri"/>
        <b/>
        <color theme="1"/>
        <sz val="16.0"/>
      </rPr>
      <t>A. Accommodation</t>
    </r>
  </si>
  <si>
    <r>
      <rPr>
        <rFont val="Calibri"/>
        <b/>
        <color theme="1"/>
        <sz val="16.0"/>
        <u/>
      </rPr>
      <t>A1. Ijen</t>
    </r>
  </si>
  <si>
    <r>
      <rPr>
        <rFont val="Calibri"/>
        <color theme="1"/>
        <sz val="16.0"/>
      </rPr>
      <t>No</t>
    </r>
  </si>
  <si>
    <r>
      <rPr>
        <rFont val="Calibri"/>
        <color theme="1"/>
        <sz val="16.0"/>
      </rPr>
      <t>No</t>
    </r>
  </si>
  <si>
    <r>
      <rPr>
        <rFont val="Calibri"/>
        <color theme="1"/>
        <sz val="16.0"/>
      </rPr>
      <t>No</t>
    </r>
  </si>
  <si>
    <r>
      <rPr>
        <rFont val="Calibri"/>
        <color theme="1"/>
        <sz val="16.0"/>
      </rPr>
      <t>No</t>
    </r>
  </si>
  <si>
    <r>
      <rPr>
        <rFont val="Calibri"/>
        <color theme="1"/>
        <sz val="16.0"/>
      </rPr>
      <t>No</t>
    </r>
  </si>
  <si>
    <r>
      <rPr>
        <rFont val="Calibri"/>
        <b/>
        <color theme="1"/>
        <sz val="16.0"/>
        <u/>
      </rPr>
      <t>A2. Bromo </t>
    </r>
  </si>
  <si>
    <r>
      <rPr>
        <rFont val="Calibri"/>
        <color theme="1"/>
        <sz val="16.0"/>
      </rPr>
      <t>No</t>
    </r>
  </si>
  <si>
    <r>
      <rPr>
        <rFont val="Calibri"/>
        <color theme="1"/>
        <sz val="16.0"/>
      </rPr>
      <t>No</t>
    </r>
  </si>
  <si>
    <r>
      <rPr>
        <rFont val="Calibri"/>
        <color theme="1"/>
        <sz val="16.0"/>
      </rPr>
      <t>No</t>
    </r>
  </si>
  <si>
    <r>
      <rPr>
        <rFont val="Calibri"/>
        <b/>
        <color theme="1"/>
        <sz val="16.0"/>
        <u/>
      </rPr>
      <t>A3. Lumajang / Malang / Jember</t>
    </r>
  </si>
  <si>
    <r>
      <rPr>
        <rFont val="Calibri"/>
        <color theme="1"/>
        <sz val="16.0"/>
      </rPr>
      <t>No</t>
    </r>
  </si>
  <si>
    <r>
      <rPr>
        <rFont val="Calibri"/>
        <color theme="1"/>
        <sz val="16.0"/>
      </rPr>
      <t>No</t>
    </r>
  </si>
  <si>
    <r>
      <rPr>
        <rFont val="Calibri"/>
        <color theme="1"/>
        <sz val="16.0"/>
      </rPr>
      <t>No</t>
    </r>
  </si>
  <si>
    <r>
      <rPr>
        <rFont val="Calibri"/>
        <color theme="1"/>
        <sz val="16.0"/>
      </rPr>
      <t>No</t>
    </r>
  </si>
  <si>
    <r>
      <rPr>
        <rFont val="Calibri"/>
        <color theme="1"/>
        <sz val="16.0"/>
      </rPr>
      <t>Doho Homestay - Emerald</t>
    </r>
  </si>
  <si>
    <r>
      <rPr>
        <rFont val="Calibri"/>
        <color theme="1"/>
        <sz val="16.0"/>
      </rPr>
      <t>No</t>
    </r>
  </si>
  <si>
    <r>
      <rPr>
        <rFont val="Calibri"/>
        <color theme="1"/>
        <sz val="16.0"/>
      </rPr>
      <t>Doho Homestay - Platinum</t>
    </r>
  </si>
  <si>
    <r>
      <rPr>
        <rFont val="Calibri"/>
        <color theme="1"/>
        <sz val="16.0"/>
      </rPr>
      <t>No</t>
    </r>
  </si>
  <si>
    <r>
      <rPr>
        <rFont val="Calibri"/>
        <color theme="1"/>
        <sz val="16.0"/>
      </rPr>
      <t>Doho Homestay - Family</t>
    </r>
  </si>
  <si>
    <r>
      <rPr>
        <rFont val="Calibri"/>
        <color theme="1"/>
        <sz val="16.0"/>
      </rPr>
      <t>No</t>
    </r>
  </si>
  <si>
    <r>
      <rPr>
        <rFont val="Calibri"/>
        <color theme="1"/>
        <sz val="16.0"/>
      </rPr>
      <t>No</t>
    </r>
  </si>
  <si>
    <r>
      <rPr>
        <rFont val="Calibri"/>
        <color theme="1"/>
        <sz val="16.0"/>
      </rPr>
      <t>No</t>
    </r>
  </si>
  <si>
    <r>
      <rPr>
        <rFont val="Calibri"/>
        <color theme="1"/>
        <sz val="16.0"/>
      </rPr>
      <t>No</t>
    </r>
  </si>
  <si>
    <r>
      <rPr>
        <rFont val="Calibri"/>
        <color theme="1"/>
        <sz val="16.0"/>
      </rPr>
      <t>No</t>
    </r>
  </si>
  <si>
    <r>
      <rPr>
        <rFont val="Calibri"/>
        <b/>
        <color theme="1"/>
        <sz val="16.0"/>
      </rPr>
      <t>B. Activities</t>
    </r>
  </si>
  <si>
    <r>
      <rPr>
        <rFont val="Calibri"/>
        <b/>
        <color theme="1"/>
        <sz val="16.0"/>
        <u/>
      </rPr>
      <t>B1. Ijen</t>
    </r>
  </si>
  <si>
    <r>
      <rPr>
        <rFont val="Calibri"/>
        <color theme="1"/>
        <sz val="16.0"/>
      </rPr>
      <t>Pax</t>
    </r>
  </si>
  <si>
    <r>
      <rPr>
        <rFont val="Calibri"/>
        <color theme="1"/>
        <sz val="16.0"/>
      </rPr>
      <t>Gas Mask</t>
    </r>
  </si>
  <si>
    <r>
      <rPr>
        <rFont val="Calibri"/>
        <color theme="1"/>
        <sz val="16.0"/>
      </rPr>
      <t>Pax</t>
    </r>
  </si>
  <si>
    <r>
      <rPr>
        <rFont val="Calibri"/>
        <color theme="1"/>
        <sz val="16.0"/>
      </rPr>
      <t>Pax</t>
    </r>
  </si>
  <si>
    <r>
      <rPr>
        <rFont val="Calibri"/>
        <color theme="1"/>
        <sz val="16.0"/>
      </rPr>
      <t>No</t>
    </r>
  </si>
  <si>
    <r>
      <rPr>
        <rFont val="Calibri"/>
        <color theme="1"/>
        <sz val="16.0"/>
      </rPr>
      <t>Pax</t>
    </r>
  </si>
  <si>
    <r>
      <rPr>
        <rFont val="Calibri"/>
        <color theme="1"/>
        <sz val="16.0"/>
      </rPr>
      <t>Pax</t>
    </r>
  </si>
  <si>
    <r>
      <rPr>
        <rFont val="Calibri"/>
        <color theme="1"/>
        <sz val="16.0"/>
      </rPr>
      <t>Pax</t>
    </r>
  </si>
  <si>
    <r>
      <rPr>
        <rFont val="Calibri"/>
        <color theme="1"/>
        <sz val="16.0"/>
      </rPr>
      <t>Pax</t>
    </r>
  </si>
  <si>
    <r>
      <rPr>
        <rFont val="Calibri"/>
        <color theme="1"/>
        <sz val="16.0"/>
      </rPr>
      <t>Ijen Certificate</t>
    </r>
  </si>
  <si>
    <r>
      <rPr>
        <rFont val="Calibri"/>
        <color theme="1"/>
        <sz val="16.0"/>
      </rPr>
      <t>No</t>
    </r>
  </si>
  <si>
    <r>
      <rPr>
        <rFont val="Calibri"/>
        <b/>
        <color theme="1"/>
        <sz val="16.0"/>
        <u/>
      </rPr>
      <t>B2. Bromo </t>
    </r>
  </si>
  <si>
    <r>
      <rPr>
        <rFont val="Calibri"/>
        <color theme="1"/>
        <sz val="16.0"/>
      </rPr>
      <t>Pax</t>
    </r>
  </si>
  <si>
    <r>
      <rPr>
        <rFont val="Calibri"/>
        <color theme="1"/>
        <sz val="16.0"/>
      </rPr>
      <t>Bromo - Jeep</t>
    </r>
  </si>
  <si>
    <r>
      <rPr>
        <rFont val="Calibri"/>
        <color theme="1"/>
        <sz val="16.0"/>
      </rPr>
      <t>Pax</t>
    </r>
  </si>
  <si>
    <r>
      <rPr>
        <rFont val="Calibri"/>
        <b/>
        <color theme="1"/>
        <sz val="16.0"/>
        <u/>
      </rPr>
      <t>B4. Tumpak Sewu/ Kapas Biru/ Panorama/ Coban Sriti</t>
    </r>
  </si>
  <si>
    <r>
      <rPr>
        <rFont val="Calibri"/>
        <color theme="1"/>
        <sz val="16.0"/>
      </rPr>
      <t>Tumpak Sewu - Ticket</t>
    </r>
  </si>
  <si>
    <r>
      <rPr>
        <rFont val="Calibri"/>
        <color theme="1"/>
        <sz val="16.0"/>
      </rPr>
      <t>Pax</t>
    </r>
  </si>
  <si>
    <r>
      <rPr>
        <rFont val="Calibri"/>
        <color theme="1"/>
        <sz val="16.0"/>
      </rPr>
      <t>No</t>
    </r>
  </si>
  <si>
    <r>
      <rPr>
        <rFont val="Calibri"/>
        <color theme="1"/>
        <sz val="16.0"/>
      </rPr>
      <t>Yanto's lunch incl drinks</t>
    </r>
  </si>
  <si>
    <r>
      <rPr>
        <rFont val="Calibri"/>
        <color theme="1"/>
        <sz val="16.0"/>
      </rPr>
      <t>Pax</t>
    </r>
  </si>
  <si>
    <r>
      <rPr>
        <rFont val="Calibri"/>
        <b/>
        <color theme="1"/>
        <sz val="16.0"/>
        <u/>
      </rPr>
      <t>C1. Vehicle</t>
    </r>
  </si>
  <si>
    <r>
      <rPr>
        <rFont val="Calibri"/>
        <color theme="1"/>
        <sz val="16.0"/>
      </rPr>
      <t>Avanza</t>
    </r>
  </si>
  <si>
    <r>
      <rPr>
        <rFont val="Calibri"/>
        <color theme="1"/>
        <sz val="16.0"/>
      </rPr>
      <t>Day x Qty</t>
    </r>
  </si>
  <si>
    <r>
      <rPr>
        <rFont val="Calibri"/>
        <color theme="1"/>
        <sz val="16.0"/>
      </rPr>
      <t>Innova</t>
    </r>
  </si>
  <si>
    <r>
      <rPr>
        <rFont val="Calibri"/>
        <color theme="1"/>
        <sz val="16.0"/>
      </rPr>
      <t>Day x Qty</t>
    </r>
  </si>
  <si>
    <r>
      <rPr>
        <rFont val="Calibri"/>
        <color theme="1"/>
        <sz val="16.0"/>
      </rPr>
      <t>Day x Qty</t>
    </r>
  </si>
  <si>
    <r>
      <rPr>
        <rFont val="Calibri"/>
        <color theme="1"/>
        <sz val="16.0"/>
      </rPr>
      <t>Toyota Hiace Premio (4-6pax)</t>
    </r>
  </si>
  <si>
    <r>
      <rPr>
        <rFont val="Calibri"/>
        <color theme="1"/>
        <sz val="16.0"/>
      </rPr>
      <t>Day x Qty</t>
    </r>
  </si>
  <si>
    <r>
      <rPr>
        <rFont val="Calibri"/>
        <color theme="1"/>
        <sz val="16.0"/>
      </rPr>
      <t>Day x Qty</t>
    </r>
  </si>
  <si>
    <r>
      <rPr>
        <rFont val="Calibri"/>
        <b/>
        <color theme="1"/>
        <sz val="16.0"/>
        <u/>
      </rPr>
      <t>C2. Parking and toll</t>
    </r>
  </si>
  <si>
    <r>
      <rPr>
        <rFont val="Calibri"/>
        <color theme="1"/>
        <sz val="16.0"/>
      </rPr>
      <t>Probolingo</t>
    </r>
  </si>
  <si>
    <r>
      <rPr>
        <rFont val="Calibri"/>
        <color theme="1"/>
        <sz val="16.0"/>
      </rPr>
      <t>No</t>
    </r>
  </si>
  <si>
    <r>
      <rPr>
        <rFont val="Calibri"/>
        <color theme="1"/>
        <sz val="16.0"/>
      </rPr>
      <t>No</t>
    </r>
  </si>
  <si>
    <r>
      <rPr>
        <rFont val="Calibri"/>
        <b/>
        <color theme="1"/>
        <sz val="16.0"/>
        <u/>
      </rPr>
      <t>C3. Shuttle service</t>
    </r>
  </si>
  <si>
    <r>
      <rPr>
        <rFont val="Calibri"/>
        <color theme="1"/>
        <sz val="16.0"/>
      </rPr>
      <t>Every 3 pax</t>
    </r>
  </si>
  <si>
    <r>
      <rPr>
        <rFont val="Calibri"/>
        <color theme="1"/>
        <sz val="16.0"/>
      </rPr>
      <t>Trip</t>
    </r>
  </si>
  <si>
    <r>
      <rPr>
        <rFont val="Calibri"/>
        <color theme="1"/>
        <sz val="16.0"/>
      </rPr>
      <t>Trip</t>
    </r>
  </si>
  <si>
    <r>
      <rPr>
        <rFont val="Calibri"/>
        <b/>
        <color theme="1"/>
        <sz val="16.0"/>
        <u/>
      </rPr>
      <t>D1. In house</t>
    </r>
  </si>
  <si>
    <r>
      <rPr>
        <rFont val="Calibri"/>
        <color theme="1"/>
        <sz val="16.0"/>
      </rPr>
      <t>Driver cum guide</t>
    </r>
  </si>
  <si>
    <r>
      <rPr>
        <rFont val="Calibri"/>
        <color theme="1"/>
        <sz val="16.0"/>
      </rPr>
      <t>Day x Qty</t>
    </r>
  </si>
  <si>
    <r>
      <rPr>
        <rFont val="Calibri"/>
        <color theme="1"/>
        <sz val="16.0"/>
      </rPr>
      <t>Day x Qty</t>
    </r>
  </si>
  <si>
    <r>
      <rPr>
        <rFont val="Calibri"/>
        <color theme="1"/>
        <sz val="16.0"/>
      </rPr>
      <t>Day x Qty</t>
    </r>
  </si>
  <si>
    <r>
      <rPr>
        <rFont val="Calibri"/>
        <b/>
        <color theme="1"/>
        <sz val="16.0"/>
        <u/>
      </rPr>
      <t>E1. Miscelleneous</t>
    </r>
  </si>
  <si>
    <r>
      <rPr>
        <rFont val="Calibri"/>
        <color theme="1"/>
        <sz val="16.0"/>
      </rPr>
      <t>Mineral Water</t>
    </r>
  </si>
  <si>
    <r>
      <rPr>
        <rFont val="Calibri"/>
        <color theme="1"/>
        <sz val="16.0"/>
      </rPr>
      <t>T Shirt</t>
    </r>
  </si>
  <si>
    <r>
      <rPr>
        <rFont val="Calibri"/>
        <color theme="1"/>
        <sz val="16.0"/>
      </rPr>
      <t>Pax</t>
    </r>
  </si>
  <si>
    <r>
      <rPr>
        <rFont val="Calibri"/>
        <b/>
        <color theme="1"/>
        <sz val="16.0"/>
        <u/>
      </rPr>
      <t>E2. Police Escort</t>
    </r>
  </si>
  <si>
    <r>
      <rPr>
        <rFont val="Calibri"/>
        <color theme="1"/>
        <sz val="16.0"/>
      </rPr>
      <t>Probolingo &lt;-&gt; Bondowoso / Pasir Putih</t>
    </r>
  </si>
  <si>
    <r>
      <rPr>
        <rFont val="Calibri"/>
        <color theme="1"/>
        <sz val="16.0"/>
      </rPr>
      <t>Trip</t>
    </r>
  </si>
  <si>
    <r>
      <rPr>
        <rFont val="Calibri"/>
        <b/>
        <color theme="1"/>
        <sz val="16.0"/>
        <u/>
      </rPr>
      <t>E3. Bali Transfer</t>
    </r>
  </si>
  <si>
    <r>
      <rPr>
        <rFont val="Calibri"/>
        <color theme="1"/>
        <sz val="16.0"/>
      </rPr>
      <t>Ferry tickets (1-way)</t>
    </r>
  </si>
  <si>
    <r>
      <rPr>
        <rFont val="Calibri"/>
        <color theme="1"/>
        <sz val="16.0"/>
      </rPr>
      <t>Pax</t>
    </r>
  </si>
  <si>
    <r>
      <rPr>
        <rFont val="Calibri"/>
        <color theme="1"/>
        <sz val="16.0"/>
      </rPr>
      <t>No</t>
    </r>
  </si>
  <si>
    <r>
      <rPr>
        <rFont val="Calibri"/>
        <b/>
        <color theme="1"/>
        <sz val="16.0"/>
      </rPr>
      <t>Description</t>
    </r>
  </si>
  <si>
    <r>
      <rPr>
        <rFont val="Calibri"/>
        <b/>
        <color theme="1"/>
        <sz val="16.0"/>
      </rPr>
      <t>Unit</t>
    </r>
  </si>
  <si>
    <r>
      <rPr>
        <rFont val="Calibri"/>
        <b/>
        <color theme="1"/>
        <sz val="16.0"/>
      </rPr>
      <t>Rate</t>
    </r>
  </si>
  <si>
    <r>
      <rPr>
        <rFont val="Calibri"/>
        <b/>
        <color theme="1"/>
        <sz val="16.0"/>
      </rPr>
      <t>A. Accommodation</t>
    </r>
  </si>
  <si>
    <r>
      <rPr>
        <rFont val="Calibri"/>
        <b/>
        <color theme="1"/>
        <sz val="16.0"/>
        <u/>
      </rPr>
      <t>A1. Ijen</t>
    </r>
  </si>
  <si>
    <r>
      <rPr>
        <rFont val="Calibri"/>
        <color theme="1"/>
        <sz val="16.0"/>
      </rPr>
      <t>No</t>
    </r>
  </si>
  <si>
    <r>
      <rPr>
        <rFont val="Calibri"/>
        <color theme="1"/>
        <sz val="16.0"/>
      </rPr>
      <t>No</t>
    </r>
  </si>
  <si>
    <r>
      <rPr>
        <rFont val="Calibri"/>
        <color theme="1"/>
        <sz val="16.0"/>
      </rPr>
      <t>No</t>
    </r>
  </si>
  <si>
    <r>
      <rPr>
        <rFont val="Calibri"/>
        <color theme="1"/>
        <sz val="16.0"/>
      </rPr>
      <t>No</t>
    </r>
  </si>
  <si>
    <r>
      <rPr>
        <rFont val="Calibri"/>
        <color theme="1"/>
        <sz val="16.0"/>
      </rPr>
      <t>No</t>
    </r>
  </si>
  <si>
    <r>
      <rPr>
        <rFont val="Calibri"/>
        <b/>
        <color theme="1"/>
        <sz val="16.0"/>
        <u/>
      </rPr>
      <t>A2. Bromo </t>
    </r>
  </si>
  <si>
    <r>
      <rPr>
        <rFont val="Calibri"/>
        <color theme="1"/>
        <sz val="16.0"/>
      </rPr>
      <t>No</t>
    </r>
  </si>
  <si>
    <r>
      <rPr>
        <rFont val="Calibri"/>
        <color theme="1"/>
        <sz val="16.0"/>
      </rPr>
      <t>No</t>
    </r>
  </si>
  <si>
    <r>
      <rPr>
        <rFont val="Calibri"/>
        <color theme="1"/>
        <sz val="16.0"/>
      </rPr>
      <t>No</t>
    </r>
  </si>
  <si>
    <r>
      <rPr>
        <rFont val="Calibri"/>
        <b/>
        <color theme="1"/>
        <sz val="16.0"/>
        <u/>
      </rPr>
      <t>A3. Lumajang / Malang / Jember</t>
    </r>
  </si>
  <si>
    <r>
      <rPr>
        <rFont val="Calibri"/>
        <color theme="1"/>
        <sz val="16.0"/>
      </rPr>
      <t>No</t>
    </r>
  </si>
  <si>
    <r>
      <rPr>
        <rFont val="Calibri"/>
        <color theme="1"/>
        <sz val="16.0"/>
      </rPr>
      <t>No</t>
    </r>
  </si>
  <si>
    <r>
      <rPr>
        <rFont val="Calibri"/>
        <color theme="1"/>
        <sz val="16.0"/>
      </rPr>
      <t>No</t>
    </r>
  </si>
  <si>
    <r>
      <rPr>
        <rFont val="Calibri"/>
        <color theme="1"/>
        <sz val="16.0"/>
      </rPr>
      <t>No</t>
    </r>
  </si>
  <si>
    <r>
      <rPr>
        <rFont val="Calibri"/>
        <color theme="1"/>
        <sz val="16.0"/>
      </rPr>
      <t>Doho Homestay - Emerald</t>
    </r>
  </si>
  <si>
    <r>
      <rPr>
        <rFont val="Calibri"/>
        <color theme="1"/>
        <sz val="16.0"/>
      </rPr>
      <t>No</t>
    </r>
  </si>
  <si>
    <r>
      <rPr>
        <rFont val="Calibri"/>
        <color theme="1"/>
        <sz val="16.0"/>
      </rPr>
      <t>Doho Homestay - Platinum</t>
    </r>
  </si>
  <si>
    <r>
      <rPr>
        <rFont val="Calibri"/>
        <color theme="1"/>
        <sz val="16.0"/>
      </rPr>
      <t>No</t>
    </r>
  </si>
  <si>
    <r>
      <rPr>
        <rFont val="Calibri"/>
        <color theme="1"/>
        <sz val="16.0"/>
      </rPr>
      <t>Doho Homestay - Family</t>
    </r>
  </si>
  <si>
    <r>
      <rPr>
        <rFont val="Calibri"/>
        <color theme="1"/>
        <sz val="16.0"/>
      </rPr>
      <t>No</t>
    </r>
  </si>
  <si>
    <r>
      <rPr>
        <rFont val="Calibri"/>
        <color theme="1"/>
        <sz val="16.0"/>
      </rPr>
      <t>No</t>
    </r>
  </si>
  <si>
    <r>
      <rPr>
        <rFont val="Calibri"/>
        <color theme="1"/>
        <sz val="16.0"/>
      </rPr>
      <t>No</t>
    </r>
  </si>
  <si>
    <r>
      <rPr>
        <rFont val="Calibri"/>
        <color theme="1"/>
        <sz val="16.0"/>
      </rPr>
      <t>No</t>
    </r>
  </si>
  <si>
    <r>
      <rPr>
        <rFont val="Calibri"/>
        <color theme="1"/>
        <sz val="16.0"/>
      </rPr>
      <t>No</t>
    </r>
  </si>
  <si>
    <r>
      <rPr>
        <rFont val="Calibri"/>
        <b/>
        <color theme="1"/>
        <sz val="16.0"/>
      </rPr>
      <t>B. Activities</t>
    </r>
  </si>
  <si>
    <r>
      <rPr>
        <rFont val="Calibri"/>
        <b/>
        <color theme="1"/>
        <sz val="16.0"/>
        <u/>
      </rPr>
      <t>B1. Ijen</t>
    </r>
  </si>
  <si>
    <r>
      <rPr>
        <rFont val="Calibri"/>
        <color theme="1"/>
        <sz val="16.0"/>
      </rPr>
      <t>Pax</t>
    </r>
  </si>
  <si>
    <r>
      <rPr>
        <rFont val="Calibri"/>
        <color theme="1"/>
        <sz val="16.0"/>
      </rPr>
      <t>Gas Mask</t>
    </r>
  </si>
  <si>
    <r>
      <rPr>
        <rFont val="Calibri"/>
        <color theme="1"/>
        <sz val="16.0"/>
      </rPr>
      <t>Pax</t>
    </r>
  </si>
  <si>
    <r>
      <rPr>
        <rFont val="Calibri"/>
        <color theme="1"/>
        <sz val="16.0"/>
      </rPr>
      <t>Pax</t>
    </r>
  </si>
  <si>
    <r>
      <rPr>
        <rFont val="Calibri"/>
        <color theme="1"/>
        <sz val="16.0"/>
      </rPr>
      <t>No</t>
    </r>
  </si>
  <si>
    <r>
      <rPr>
        <rFont val="Calibri"/>
        <color theme="1"/>
        <sz val="16.0"/>
      </rPr>
      <t>Pax</t>
    </r>
  </si>
  <si>
    <r>
      <rPr>
        <rFont val="Calibri"/>
        <color theme="1"/>
        <sz val="16.0"/>
      </rPr>
      <t>Pax</t>
    </r>
  </si>
  <si>
    <r>
      <rPr>
        <rFont val="Calibri"/>
        <color theme="1"/>
        <sz val="16.0"/>
      </rPr>
      <t>Pax</t>
    </r>
  </si>
  <si>
    <r>
      <rPr>
        <rFont val="Calibri"/>
        <color theme="1"/>
        <sz val="16.0"/>
      </rPr>
      <t>Pax</t>
    </r>
  </si>
  <si>
    <r>
      <rPr>
        <rFont val="Calibri"/>
        <color theme="1"/>
        <sz val="16.0"/>
      </rPr>
      <t>Ijen Certificate</t>
    </r>
  </si>
  <si>
    <r>
      <rPr>
        <rFont val="Calibri"/>
        <color theme="1"/>
        <sz val="16.0"/>
      </rPr>
      <t>No</t>
    </r>
  </si>
  <si>
    <r>
      <rPr>
        <rFont val="Calibri"/>
        <b/>
        <color theme="1"/>
        <sz val="16.0"/>
        <u/>
      </rPr>
      <t>B2. Bromo </t>
    </r>
  </si>
  <si>
    <r>
      <rPr>
        <rFont val="Calibri"/>
        <color theme="1"/>
        <sz val="16.0"/>
      </rPr>
      <t>Pax</t>
    </r>
  </si>
  <si>
    <r>
      <rPr>
        <rFont val="Calibri"/>
        <color theme="1"/>
        <sz val="16.0"/>
      </rPr>
      <t>Bromo - Jeep</t>
    </r>
  </si>
  <si>
    <r>
      <rPr>
        <rFont val="Calibri"/>
        <color theme="1"/>
        <sz val="16.0"/>
      </rPr>
      <t>Pax</t>
    </r>
  </si>
  <si>
    <r>
      <rPr>
        <rFont val="Calibri"/>
        <b/>
        <color theme="1"/>
        <sz val="16.0"/>
        <u/>
      </rPr>
      <t>B4. Tumpak Sewu/ Kapas Biru/ Panorama/ Coban Sriti</t>
    </r>
  </si>
  <si>
    <r>
      <rPr>
        <rFont val="Calibri"/>
        <color theme="1"/>
        <sz val="16.0"/>
      </rPr>
      <t>Tumpak Sewu - Ticket</t>
    </r>
  </si>
  <si>
    <r>
      <rPr>
        <rFont val="Calibri"/>
        <color theme="1"/>
        <sz val="16.0"/>
      </rPr>
      <t>Pax</t>
    </r>
  </si>
  <si>
    <r>
      <rPr>
        <rFont val="Calibri"/>
        <color theme="1"/>
        <sz val="16.0"/>
      </rPr>
      <t>No</t>
    </r>
  </si>
  <si>
    <r>
      <rPr>
        <rFont val="Calibri"/>
        <color theme="1"/>
        <sz val="16.0"/>
      </rPr>
      <t>Yanto's lunch incl drinks</t>
    </r>
  </si>
  <si>
    <r>
      <rPr>
        <rFont val="Calibri"/>
        <color theme="1"/>
        <sz val="16.0"/>
      </rPr>
      <t>Pax</t>
    </r>
  </si>
  <si>
    <r>
      <rPr>
        <rFont val="Calibri"/>
        <b/>
        <color theme="1"/>
        <sz val="16.0"/>
        <u/>
      </rPr>
      <t>C1. Vehicle</t>
    </r>
  </si>
  <si>
    <r>
      <rPr>
        <rFont val="Calibri"/>
        <color theme="1"/>
        <sz val="16.0"/>
      </rPr>
      <t>Avanza</t>
    </r>
  </si>
  <si>
    <r>
      <rPr>
        <rFont val="Calibri"/>
        <color theme="1"/>
        <sz val="16.0"/>
      </rPr>
      <t>Day x Qty</t>
    </r>
  </si>
  <si>
    <r>
      <rPr>
        <rFont val="Calibri"/>
        <color theme="1"/>
        <sz val="16.0"/>
      </rPr>
      <t>Innova</t>
    </r>
  </si>
  <si>
    <r>
      <rPr>
        <rFont val="Calibri"/>
        <color theme="1"/>
        <sz val="16.0"/>
      </rPr>
      <t>Day x Qty</t>
    </r>
  </si>
  <si>
    <r>
      <rPr>
        <rFont val="Calibri"/>
        <color theme="1"/>
        <sz val="16.0"/>
      </rPr>
      <t>Day x Qty</t>
    </r>
  </si>
  <si>
    <r>
      <rPr>
        <rFont val="Calibri"/>
        <color theme="1"/>
        <sz val="16.0"/>
      </rPr>
      <t>Toyota Hiace Premio (4-6pax)</t>
    </r>
  </si>
  <si>
    <r>
      <rPr>
        <rFont val="Calibri"/>
        <color theme="1"/>
        <sz val="16.0"/>
      </rPr>
      <t>Day x Qty</t>
    </r>
  </si>
  <si>
    <r>
      <rPr>
        <rFont val="Calibri"/>
        <color theme="1"/>
        <sz val="16.0"/>
      </rPr>
      <t>Day x Qty</t>
    </r>
  </si>
  <si>
    <r>
      <rPr>
        <rFont val="Calibri"/>
        <b/>
        <color theme="1"/>
        <sz val="16.0"/>
        <u/>
      </rPr>
      <t>C2. Parking and toll</t>
    </r>
  </si>
  <si>
    <r>
      <rPr>
        <rFont val="Calibri"/>
        <color theme="1"/>
        <sz val="16.0"/>
      </rPr>
      <t>Probolingo</t>
    </r>
  </si>
  <si>
    <r>
      <rPr>
        <rFont val="Calibri"/>
        <color theme="1"/>
        <sz val="16.0"/>
      </rPr>
      <t>No</t>
    </r>
  </si>
  <si>
    <r>
      <rPr>
        <rFont val="Calibri"/>
        <color theme="1"/>
        <sz val="16.0"/>
      </rPr>
      <t>No</t>
    </r>
  </si>
  <si>
    <r>
      <rPr>
        <rFont val="Calibri"/>
        <b/>
        <color theme="1"/>
        <sz val="16.0"/>
        <u/>
      </rPr>
      <t>C3. Shuttle service</t>
    </r>
  </si>
  <si>
    <r>
      <rPr>
        <rFont val="Calibri"/>
        <color theme="1"/>
        <sz val="16.0"/>
      </rPr>
      <t>Every 3 pax</t>
    </r>
  </si>
  <si>
    <r>
      <rPr>
        <rFont val="Calibri"/>
        <color theme="1"/>
        <sz val="16.0"/>
      </rPr>
      <t>Trip</t>
    </r>
  </si>
  <si>
    <r>
      <rPr>
        <rFont val="Calibri"/>
        <color theme="1"/>
        <sz val="16.0"/>
      </rPr>
      <t>Trip</t>
    </r>
  </si>
  <si>
    <r>
      <rPr>
        <rFont val="Calibri"/>
        <b/>
        <color theme="1"/>
        <sz val="16.0"/>
        <u/>
      </rPr>
      <t>D1. In house</t>
    </r>
  </si>
  <si>
    <r>
      <rPr>
        <rFont val="Calibri"/>
        <color theme="1"/>
        <sz val="16.0"/>
      </rPr>
      <t>Driver cum guide</t>
    </r>
  </si>
  <si>
    <r>
      <rPr>
        <rFont val="Calibri"/>
        <color theme="1"/>
        <sz val="16.0"/>
      </rPr>
      <t>Day x Qty</t>
    </r>
  </si>
  <si>
    <r>
      <rPr>
        <rFont val="Calibri"/>
        <color theme="1"/>
        <sz val="16.0"/>
      </rPr>
      <t>Day x Qty</t>
    </r>
  </si>
  <si>
    <r>
      <rPr>
        <rFont val="Calibri"/>
        <color theme="1"/>
        <sz val="16.0"/>
      </rPr>
      <t>Day x Qty</t>
    </r>
  </si>
  <si>
    <r>
      <rPr>
        <rFont val="Calibri"/>
        <b/>
        <color theme="1"/>
        <sz val="16.0"/>
        <u/>
      </rPr>
      <t>E1. Miscelleneous</t>
    </r>
  </si>
  <si>
    <r>
      <rPr>
        <rFont val="Calibri"/>
        <color theme="1"/>
        <sz val="16.0"/>
      </rPr>
      <t>Mineral Water</t>
    </r>
  </si>
  <si>
    <r>
      <rPr>
        <rFont val="Calibri"/>
        <color theme="1"/>
        <sz val="16.0"/>
      </rPr>
      <t>T Shirt</t>
    </r>
  </si>
  <si>
    <r>
      <rPr>
        <rFont val="Calibri"/>
        <color theme="1"/>
        <sz val="16.0"/>
      </rPr>
      <t>Pax</t>
    </r>
  </si>
  <si>
    <r>
      <rPr>
        <rFont val="Calibri"/>
        <b/>
        <color theme="1"/>
        <sz val="16.0"/>
        <u/>
      </rPr>
      <t>E2. Police Escort</t>
    </r>
  </si>
  <si>
    <r>
      <rPr>
        <rFont val="Calibri"/>
        <color theme="1"/>
        <sz val="16.0"/>
      </rPr>
      <t>Probolingo &lt;-&gt; Bondowoso / Pasir Putih</t>
    </r>
  </si>
  <si>
    <r>
      <rPr>
        <rFont val="Calibri"/>
        <color theme="1"/>
        <sz val="16.0"/>
      </rPr>
      <t>Trip</t>
    </r>
  </si>
  <si>
    <r>
      <rPr>
        <rFont val="Calibri"/>
        <b/>
        <color theme="1"/>
        <sz val="16.0"/>
        <u/>
      </rPr>
      <t>E3. Bali Transfer</t>
    </r>
  </si>
  <si>
    <r>
      <rPr>
        <rFont val="Calibri"/>
        <color theme="1"/>
        <sz val="16.0"/>
      </rPr>
      <t>Ferry tickets (1-way)</t>
    </r>
  </si>
  <si>
    <r>
      <rPr>
        <rFont val="Calibri"/>
        <color theme="1"/>
        <sz val="16.0"/>
      </rPr>
      <t>Pax</t>
    </r>
  </si>
  <si>
    <r>
      <rPr>
        <rFont val="Calibri"/>
        <color theme="1"/>
        <sz val="16.0"/>
      </rPr>
      <t>No</t>
    </r>
  </si>
  <si>
    <r>
      <rPr>
        <rFont val="Calibri"/>
        <b/>
        <color theme="1"/>
        <sz val="16.0"/>
      </rPr>
      <t>Description</t>
    </r>
  </si>
  <si>
    <r>
      <rPr>
        <rFont val="Calibri"/>
        <b/>
        <color theme="1"/>
        <sz val="16.0"/>
      </rPr>
      <t>Unit</t>
    </r>
  </si>
  <si>
    <r>
      <rPr>
        <rFont val="Calibri"/>
        <b/>
        <color theme="1"/>
        <sz val="16.0"/>
      </rPr>
      <t>Rate</t>
    </r>
  </si>
  <si>
    <r>
      <rPr>
        <rFont val="Calibri"/>
        <b/>
        <color theme="1"/>
        <sz val="16.0"/>
      </rPr>
      <t>A. Accommodation</t>
    </r>
  </si>
  <si>
    <r>
      <rPr>
        <rFont val="Calibri"/>
        <b/>
        <color theme="1"/>
        <sz val="16.0"/>
        <u/>
      </rPr>
      <t>A1. Ijen</t>
    </r>
  </si>
  <si>
    <r>
      <rPr>
        <rFont val="Calibri"/>
        <color theme="1"/>
        <sz val="16.0"/>
      </rPr>
      <t>No</t>
    </r>
  </si>
  <si>
    <r>
      <rPr>
        <rFont val="Calibri"/>
        <color theme="1"/>
        <sz val="16.0"/>
      </rPr>
      <t>No</t>
    </r>
  </si>
  <si>
    <r>
      <rPr>
        <rFont val="Calibri"/>
        <color theme="1"/>
        <sz val="16.0"/>
      </rPr>
      <t>No</t>
    </r>
  </si>
  <si>
    <r>
      <rPr>
        <rFont val="Calibri"/>
        <color theme="1"/>
        <sz val="16.0"/>
      </rPr>
      <t>No</t>
    </r>
  </si>
  <si>
    <r>
      <rPr>
        <rFont val="Calibri"/>
        <color theme="1"/>
        <sz val="16.0"/>
      </rPr>
      <t>No</t>
    </r>
  </si>
  <si>
    <r>
      <rPr>
        <rFont val="Calibri"/>
        <b/>
        <color theme="1"/>
        <sz val="16.0"/>
        <u/>
      </rPr>
      <t>A2. Bromo </t>
    </r>
  </si>
  <si>
    <r>
      <rPr>
        <rFont val="Calibri"/>
        <color theme="1"/>
        <sz val="16.0"/>
      </rPr>
      <t>No</t>
    </r>
  </si>
  <si>
    <r>
      <rPr>
        <rFont val="Calibri"/>
        <color theme="1"/>
        <sz val="16.0"/>
      </rPr>
      <t>No</t>
    </r>
  </si>
  <si>
    <r>
      <rPr>
        <rFont val="Calibri"/>
        <color theme="1"/>
        <sz val="16.0"/>
      </rPr>
      <t>No</t>
    </r>
  </si>
  <si>
    <r>
      <rPr>
        <rFont val="Calibri"/>
        <b/>
        <color theme="1"/>
        <sz val="16.0"/>
        <u/>
      </rPr>
      <t>A3. Lumajang / Malang / Jember</t>
    </r>
  </si>
  <si>
    <r>
      <rPr>
        <rFont val="Calibri"/>
        <color theme="1"/>
        <sz val="16.0"/>
      </rPr>
      <t>No</t>
    </r>
  </si>
  <si>
    <r>
      <rPr>
        <rFont val="Calibri"/>
        <color theme="1"/>
        <sz val="16.0"/>
      </rPr>
      <t>No</t>
    </r>
  </si>
  <si>
    <r>
      <rPr>
        <rFont val="Calibri"/>
        <color theme="1"/>
        <sz val="16.0"/>
      </rPr>
      <t>No</t>
    </r>
  </si>
  <si>
    <r>
      <rPr>
        <rFont val="Calibri"/>
        <color theme="1"/>
        <sz val="16.0"/>
      </rPr>
      <t>No</t>
    </r>
  </si>
  <si>
    <r>
      <rPr>
        <rFont val="Calibri"/>
        <color theme="1"/>
        <sz val="16.0"/>
      </rPr>
      <t>Doho Homestay - Emerald</t>
    </r>
  </si>
  <si>
    <r>
      <rPr>
        <rFont val="Calibri"/>
        <color theme="1"/>
        <sz val="16.0"/>
      </rPr>
      <t>No</t>
    </r>
  </si>
  <si>
    <r>
      <rPr>
        <rFont val="Calibri"/>
        <color theme="1"/>
        <sz val="16.0"/>
      </rPr>
      <t>Doho Homestay - Platinum</t>
    </r>
  </si>
  <si>
    <r>
      <rPr>
        <rFont val="Calibri"/>
        <color theme="1"/>
        <sz val="16.0"/>
      </rPr>
      <t>No</t>
    </r>
  </si>
  <si>
    <r>
      <rPr>
        <rFont val="Calibri"/>
        <color theme="1"/>
        <sz val="16.0"/>
      </rPr>
      <t>Doho Homestay - Family</t>
    </r>
  </si>
  <si>
    <r>
      <rPr>
        <rFont val="Calibri"/>
        <color theme="1"/>
        <sz val="16.0"/>
      </rPr>
      <t>No</t>
    </r>
  </si>
  <si>
    <r>
      <rPr>
        <rFont val="Calibri"/>
        <color theme="1"/>
        <sz val="16.0"/>
      </rPr>
      <t>No</t>
    </r>
  </si>
  <si>
    <r>
      <rPr>
        <rFont val="Calibri"/>
        <color theme="1"/>
        <sz val="16.0"/>
      </rPr>
      <t>No</t>
    </r>
  </si>
  <si>
    <r>
      <rPr>
        <rFont val="Calibri"/>
        <color theme="1"/>
        <sz val="16.0"/>
      </rPr>
      <t>No</t>
    </r>
  </si>
  <si>
    <r>
      <rPr>
        <rFont val="Calibri"/>
        <color theme="1"/>
        <sz val="16.0"/>
      </rPr>
      <t>No</t>
    </r>
  </si>
  <si>
    <r>
      <rPr>
        <rFont val="Calibri"/>
        <b/>
        <color theme="1"/>
        <sz val="16.0"/>
      </rPr>
      <t>B. Activities</t>
    </r>
  </si>
  <si>
    <r>
      <rPr>
        <rFont val="Calibri"/>
        <b/>
        <color theme="1"/>
        <sz val="16.0"/>
        <u/>
      </rPr>
      <t>B1. Ijen</t>
    </r>
  </si>
  <si>
    <r>
      <rPr>
        <rFont val="Calibri"/>
        <color theme="1"/>
        <sz val="16.0"/>
      </rPr>
      <t>Pax</t>
    </r>
  </si>
  <si>
    <r>
      <rPr>
        <rFont val="Calibri"/>
        <color theme="1"/>
        <sz val="16.0"/>
      </rPr>
      <t>Gas Mask</t>
    </r>
  </si>
  <si>
    <r>
      <rPr>
        <rFont val="Calibri"/>
        <color theme="1"/>
        <sz val="16.0"/>
      </rPr>
      <t>Pax</t>
    </r>
  </si>
  <si>
    <r>
      <rPr>
        <rFont val="Calibri"/>
        <color theme="1"/>
        <sz val="16.0"/>
      </rPr>
      <t>Pax</t>
    </r>
  </si>
  <si>
    <r>
      <rPr>
        <rFont val="Calibri"/>
        <color theme="1"/>
        <sz val="16.0"/>
      </rPr>
      <t>No</t>
    </r>
  </si>
  <si>
    <r>
      <rPr>
        <rFont val="Calibri"/>
        <color theme="1"/>
        <sz val="16.0"/>
      </rPr>
      <t>Pax</t>
    </r>
  </si>
  <si>
    <r>
      <rPr>
        <rFont val="Calibri"/>
        <color theme="1"/>
        <sz val="16.0"/>
      </rPr>
      <t>Pax</t>
    </r>
  </si>
  <si>
    <r>
      <rPr>
        <rFont val="Calibri"/>
        <color theme="1"/>
        <sz val="16.0"/>
      </rPr>
      <t>Pax</t>
    </r>
  </si>
  <si>
    <r>
      <rPr>
        <rFont val="Calibri"/>
        <color theme="1"/>
        <sz val="16.0"/>
      </rPr>
      <t>Pax</t>
    </r>
  </si>
  <si>
    <r>
      <rPr>
        <rFont val="Calibri"/>
        <color theme="1"/>
        <sz val="16.0"/>
      </rPr>
      <t>Ijen Certificate</t>
    </r>
  </si>
  <si>
    <r>
      <rPr>
        <rFont val="Calibri"/>
        <color theme="1"/>
        <sz val="16.0"/>
      </rPr>
      <t>No</t>
    </r>
  </si>
  <si>
    <r>
      <rPr>
        <rFont val="Calibri"/>
        <b/>
        <color theme="1"/>
        <sz val="16.0"/>
        <u/>
      </rPr>
      <t>B2. Bromo </t>
    </r>
  </si>
  <si>
    <r>
      <rPr>
        <rFont val="Calibri"/>
        <color theme="1"/>
        <sz val="16.0"/>
      </rPr>
      <t>Pax</t>
    </r>
  </si>
  <si>
    <r>
      <rPr>
        <rFont val="Calibri"/>
        <color theme="1"/>
        <sz val="16.0"/>
      </rPr>
      <t>Bromo - Jeep</t>
    </r>
  </si>
  <si>
    <r>
      <rPr>
        <rFont val="Calibri"/>
        <color theme="1"/>
        <sz val="16.0"/>
      </rPr>
      <t>Pax</t>
    </r>
  </si>
  <si>
    <r>
      <rPr>
        <rFont val="Calibri"/>
        <b/>
        <color theme="1"/>
        <sz val="16.0"/>
        <u/>
      </rPr>
      <t>B4. Tumpak Sewu/ Kapas Biru/ Panorama/ Coban Sriti</t>
    </r>
  </si>
  <si>
    <r>
      <rPr>
        <rFont val="Calibri"/>
        <color theme="1"/>
        <sz val="16.0"/>
      </rPr>
      <t>Tumpak Sewu - Ticket</t>
    </r>
  </si>
  <si>
    <r>
      <rPr>
        <rFont val="Calibri"/>
        <color theme="1"/>
        <sz val="16.0"/>
      </rPr>
      <t>Pax</t>
    </r>
  </si>
  <si>
    <r>
      <rPr>
        <rFont val="Calibri"/>
        <color theme="1"/>
        <sz val="16.0"/>
      </rPr>
      <t>No</t>
    </r>
  </si>
  <si>
    <r>
      <rPr>
        <rFont val="Calibri"/>
        <color theme="1"/>
        <sz val="16.0"/>
      </rPr>
      <t>Yanto's lunch incl drinks</t>
    </r>
  </si>
  <si>
    <r>
      <rPr>
        <rFont val="Calibri"/>
        <color theme="1"/>
        <sz val="16.0"/>
      </rPr>
      <t>Pax</t>
    </r>
  </si>
  <si>
    <r>
      <rPr>
        <rFont val="Calibri"/>
        <b/>
        <color theme="1"/>
        <sz val="16.0"/>
        <u/>
      </rPr>
      <t>C1. Vehicle</t>
    </r>
  </si>
  <si>
    <r>
      <rPr>
        <rFont val="Calibri"/>
        <color theme="1"/>
        <sz val="16.0"/>
      </rPr>
      <t>Avanza</t>
    </r>
  </si>
  <si>
    <r>
      <rPr>
        <rFont val="Calibri"/>
        <color theme="1"/>
        <sz val="16.0"/>
      </rPr>
      <t>Day x Qty</t>
    </r>
  </si>
  <si>
    <r>
      <rPr>
        <rFont val="Calibri"/>
        <color theme="1"/>
        <sz val="16.0"/>
      </rPr>
      <t>Innova</t>
    </r>
  </si>
  <si>
    <r>
      <rPr>
        <rFont val="Calibri"/>
        <color theme="1"/>
        <sz val="16.0"/>
      </rPr>
      <t>Day x Qty</t>
    </r>
  </si>
  <si>
    <r>
      <rPr>
        <rFont val="Calibri"/>
        <color theme="1"/>
        <sz val="16.0"/>
      </rPr>
      <t>Day x Qty</t>
    </r>
  </si>
  <si>
    <r>
      <rPr>
        <rFont val="Calibri"/>
        <color theme="1"/>
        <sz val="16.0"/>
      </rPr>
      <t>Toyota Hiace Premio (4-6pax)</t>
    </r>
  </si>
  <si>
    <r>
      <rPr>
        <rFont val="Calibri"/>
        <color theme="1"/>
        <sz val="16.0"/>
      </rPr>
      <t>Day x Qty</t>
    </r>
  </si>
  <si>
    <r>
      <rPr>
        <rFont val="Calibri"/>
        <color theme="1"/>
        <sz val="16.0"/>
      </rPr>
      <t>Day x Qty</t>
    </r>
  </si>
  <si>
    <r>
      <rPr>
        <rFont val="Calibri"/>
        <b/>
        <color theme="1"/>
        <sz val="16.0"/>
        <u/>
      </rPr>
      <t>C2. Parking and toll</t>
    </r>
  </si>
  <si>
    <r>
      <rPr>
        <rFont val="Calibri"/>
        <color theme="1"/>
        <sz val="16.0"/>
      </rPr>
      <t>Probolingo</t>
    </r>
  </si>
  <si>
    <r>
      <rPr>
        <rFont val="Calibri"/>
        <color theme="1"/>
        <sz val="16.0"/>
      </rPr>
      <t>No</t>
    </r>
  </si>
  <si>
    <r>
      <rPr>
        <rFont val="Calibri"/>
        <color theme="1"/>
        <sz val="16.0"/>
      </rPr>
      <t>No</t>
    </r>
  </si>
  <si>
    <r>
      <rPr>
        <rFont val="Calibri"/>
        <b/>
        <color theme="1"/>
        <sz val="16.0"/>
        <u/>
      </rPr>
      <t>C3. Shuttle service</t>
    </r>
  </si>
  <si>
    <r>
      <rPr>
        <rFont val="Calibri"/>
        <color theme="1"/>
        <sz val="16.0"/>
      </rPr>
      <t>Every 3 pax</t>
    </r>
  </si>
  <si>
    <r>
      <rPr>
        <rFont val="Calibri"/>
        <color theme="1"/>
        <sz val="16.0"/>
      </rPr>
      <t>Trip</t>
    </r>
  </si>
  <si>
    <r>
      <rPr>
        <rFont val="Calibri"/>
        <color theme="1"/>
        <sz val="16.0"/>
      </rPr>
      <t>Trip</t>
    </r>
  </si>
  <si>
    <r>
      <rPr>
        <rFont val="Calibri"/>
        <b/>
        <color theme="1"/>
        <sz val="16.0"/>
        <u/>
      </rPr>
      <t>D1. In house</t>
    </r>
  </si>
  <si>
    <r>
      <rPr>
        <rFont val="Calibri"/>
        <color theme="1"/>
        <sz val="16.0"/>
      </rPr>
      <t>Driver cum guide</t>
    </r>
  </si>
  <si>
    <r>
      <rPr>
        <rFont val="Calibri"/>
        <color theme="1"/>
        <sz val="16.0"/>
      </rPr>
      <t>Day x Qty</t>
    </r>
  </si>
  <si>
    <r>
      <rPr>
        <rFont val="Calibri"/>
        <color theme="1"/>
        <sz val="16.0"/>
      </rPr>
      <t>Day x Qty</t>
    </r>
  </si>
  <si>
    <r>
      <rPr>
        <rFont val="Calibri"/>
        <color theme="1"/>
        <sz val="16.0"/>
      </rPr>
      <t>Day x Qty</t>
    </r>
  </si>
  <si>
    <r>
      <rPr>
        <rFont val="Calibri"/>
        <b/>
        <color theme="1"/>
        <sz val="16.0"/>
        <u/>
      </rPr>
      <t>E1. Miscelleneous</t>
    </r>
  </si>
  <si>
    <r>
      <rPr>
        <rFont val="Calibri"/>
        <color theme="1"/>
        <sz val="16.0"/>
      </rPr>
      <t>Mineral Water</t>
    </r>
  </si>
  <si>
    <r>
      <rPr>
        <rFont val="Calibri"/>
        <color theme="1"/>
        <sz val="16.0"/>
      </rPr>
      <t>T Shirt</t>
    </r>
  </si>
  <si>
    <r>
      <rPr>
        <rFont val="Calibri"/>
        <color theme="1"/>
        <sz val="16.0"/>
      </rPr>
      <t>Pax</t>
    </r>
  </si>
  <si>
    <r>
      <rPr>
        <rFont val="Calibri"/>
        <b/>
        <color theme="1"/>
        <sz val="16.0"/>
        <u/>
      </rPr>
      <t>E2. Police Escort</t>
    </r>
  </si>
  <si>
    <r>
      <rPr>
        <rFont val="Calibri"/>
        <color theme="1"/>
        <sz val="16.0"/>
      </rPr>
      <t>Probolingo &lt;-&gt; Bondowoso / Pasir Putih</t>
    </r>
  </si>
  <si>
    <r>
      <rPr>
        <rFont val="Calibri"/>
        <color theme="1"/>
        <sz val="16.0"/>
      </rPr>
      <t>Trip</t>
    </r>
  </si>
  <si>
    <r>
      <rPr>
        <rFont val="Calibri"/>
        <b/>
        <color theme="1"/>
        <sz val="16.0"/>
        <u/>
      </rPr>
      <t>E3. Bali Transfer</t>
    </r>
  </si>
  <si>
    <r>
      <rPr>
        <rFont val="Calibri"/>
        <color theme="1"/>
        <sz val="16.0"/>
      </rPr>
      <t>Ferry tickets (1-way)</t>
    </r>
  </si>
  <si>
    <r>
      <rPr>
        <rFont val="Calibri"/>
        <color theme="1"/>
        <sz val="16.0"/>
      </rPr>
      <t>Pax</t>
    </r>
  </si>
  <si>
    <r>
      <rPr>
        <rFont val="Calibri"/>
        <color theme="1"/>
        <sz val="16.0"/>
      </rPr>
      <t>No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</si>
</sst>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(* #,##0_);_(* \(#,##0\);_(* &quot;-&quot;??_);_(@_)"/>
    <numFmt numFmtId="165" formatCode="_-* #,##0_-;\-* #,##0_-;_-* &quot;-&quot;??_-;_-@"/>
  </numFmts>
  <fonts count="16">
    <font>
      <sz val="10.0"/>
      <color rgb="FF000000"/>
      <name val="Times New Roman"/>
      <scheme val="minor"/>
    </font>
    <font>
      <b/>
      <sz val="14.0"/>
      <color rgb="FF000000"/>
      <name val="Aptos"/>
    </font>
    <font>
      <sz val="14.0"/>
      <color rgb="FF000000"/>
      <name val="Aptos"/>
    </font>
    <font>
      <b/>
      <sz val="16.0"/>
      <color rgb="FF000000"/>
      <name val="Times New Roman"/>
    </font>
    <font>
      <b/>
      <sz val="16.0"/>
      <color theme="1"/>
      <name val="Calibri"/>
    </font>
    <font>
      <sz val="16.0"/>
      <color rgb="FF000000"/>
      <name val="Times New Roman"/>
    </font>
    <font>
      <sz val="10.0"/>
      <color rgb="FF000000"/>
      <name val="Times New Roman"/>
    </font>
    <font>
      <sz val="16.0"/>
      <color theme="1"/>
      <name val="Calibri"/>
    </font>
    <font>
      <sz val="16.0"/>
      <color rgb="FF000000"/>
      <name val="Calibri"/>
    </font>
    <font>
      <b/>
      <sz val="11.0"/>
      <color theme="0"/>
      <name val="Calibri"/>
    </font>
    <font>
      <b/>
      <u/>
      <sz val="16.0"/>
      <color theme="1"/>
      <name val="Calibri"/>
    </font>
    <font>
      <b/>
      <sz val="16.0"/>
      <color rgb="FF000000"/>
      <name val="Calibri"/>
    </font>
    <font>
      <b/>
      <sz val="11.0"/>
      <color theme="1"/>
      <name val="Calibri"/>
    </font>
    <font>
      <b/>
      <sz val="11.0"/>
      <color rgb="FF0C0C0C"/>
      <name val="Calibri"/>
    </font>
    <font>
      <b/>
      <sz val="14.0"/>
      <color theme="1"/>
      <name val="Aptos"/>
    </font>
    <font>
      <sz val="14.0"/>
      <color theme="1"/>
      <name val="Aptos"/>
    </font>
  </fonts>
  <fills count="8">
    <fill>
      <patternFill patternType="none"/>
    </fill>
    <fill>
      <patternFill patternType="lightGray"/>
    </fill>
    <fill>
      <patternFill patternType="solid">
        <fgColor rgb="FFFBD4B4"/>
        <bgColor rgb="FFFBD4B4"/>
      </patternFill>
    </fill>
    <fill>
      <patternFill patternType="solid">
        <fgColor rgb="FFDDD9C3"/>
        <bgColor rgb="FFDDD9C3"/>
      </patternFill>
    </fill>
    <fill>
      <patternFill patternType="solid">
        <fgColor rgb="FFFABF8F"/>
        <bgColor rgb="FFFABF8F"/>
      </patternFill>
    </fill>
    <fill>
      <patternFill patternType="solid">
        <fgColor theme="9"/>
        <bgColor theme="9"/>
      </patternFill>
    </fill>
    <fill>
      <patternFill patternType="solid">
        <fgColor rgb="FFE36C09"/>
        <bgColor rgb="FFE36C09"/>
      </patternFill>
    </fill>
    <fill>
      <patternFill patternType="solid">
        <fgColor rgb="FF974806"/>
        <bgColor rgb="FF974806"/>
      </patternFill>
    </fill>
  </fills>
  <borders count="4">
    <border/>
    <border>
      <bottom style="thin">
        <color rgb="FF000000"/>
      </bottom>
    </border>
    <border>
      <left/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horizontal="left" readingOrder="0" shrinkToFit="0" vertical="top" wrapText="0"/>
    </xf>
    <xf borderId="0" fillId="0" fontId="1" numFmtId="0" xfId="0" applyAlignment="1" applyFont="1">
      <alignment horizontal="left" vertical="top"/>
    </xf>
    <xf borderId="1" fillId="0" fontId="2" numFmtId="0" xfId="0" applyAlignment="1" applyBorder="1" applyFont="1">
      <alignment horizontal="left" vertical="center"/>
    </xf>
    <xf borderId="2" fillId="2" fontId="2" numFmtId="0" xfId="0" applyAlignment="1" applyBorder="1" applyFill="1" applyFont="1">
      <alignment horizontal="left" vertical="center"/>
    </xf>
    <xf borderId="0" fillId="0" fontId="3" numFmtId="0" xfId="0" applyAlignment="1" applyFont="1">
      <alignment horizontal="left" vertical="center"/>
    </xf>
    <xf borderId="3" fillId="0" fontId="4" numFmtId="0" xfId="0" applyAlignment="1" applyBorder="1" applyFont="1">
      <alignment horizontal="center" shrinkToFit="0" vertical="center" wrapText="1"/>
    </xf>
    <xf borderId="3" fillId="0" fontId="4" numFmtId="0" xfId="0" applyAlignment="1" applyBorder="1" applyFont="1">
      <alignment horizontal="left" shrinkToFit="0" vertical="top" wrapText="1"/>
    </xf>
    <xf borderId="3" fillId="0" fontId="5" numFmtId="0" xfId="0" applyAlignment="1" applyBorder="1" applyFont="1">
      <alignment horizontal="left" shrinkToFit="0" vertical="bottom" wrapText="1"/>
    </xf>
    <xf borderId="3" fillId="0" fontId="6" numFmtId="0" xfId="0" applyAlignment="1" applyBorder="1" applyFont="1">
      <alignment horizontal="left" vertical="top"/>
    </xf>
    <xf borderId="3" fillId="0" fontId="7" numFmtId="0" xfId="0" applyAlignment="1" applyBorder="1" applyFont="1">
      <alignment horizontal="left" shrinkToFit="0" vertical="top" wrapText="1"/>
    </xf>
    <xf borderId="3" fillId="0" fontId="7" numFmtId="0" xfId="0" applyAlignment="1" applyBorder="1" applyFont="1">
      <alignment horizontal="center" shrinkToFit="0" vertical="top" wrapText="1"/>
    </xf>
    <xf borderId="3" fillId="0" fontId="8" numFmtId="164" xfId="0" applyAlignment="1" applyBorder="1" applyFont="1" applyNumberFormat="1">
      <alignment horizontal="center" shrinkToFit="1" vertical="top" wrapText="0"/>
    </xf>
    <xf borderId="3" fillId="0" fontId="8" numFmtId="3" xfId="0" applyAlignment="1" applyBorder="1" applyFont="1" applyNumberFormat="1">
      <alignment horizontal="center" shrinkToFit="1" vertical="top" wrapText="0"/>
    </xf>
    <xf borderId="0" fillId="0" fontId="9" numFmtId="0" xfId="0" applyAlignment="1" applyFont="1">
      <alignment horizontal="center" vertical="bottom"/>
    </xf>
    <xf borderId="0" fillId="0" fontId="9" numFmtId="165" xfId="0" applyAlignment="1" applyFont="1" applyNumberFormat="1">
      <alignment horizontal="left" vertical="bottom"/>
    </xf>
    <xf borderId="0" fillId="0" fontId="9" numFmtId="165" xfId="0" applyAlignment="1" applyFont="1" applyNumberFormat="1">
      <alignment horizontal="center" vertical="bottom"/>
    </xf>
    <xf borderId="3" fillId="0" fontId="5" numFmtId="164" xfId="0" applyAlignment="1" applyBorder="1" applyFont="1" applyNumberFormat="1">
      <alignment horizontal="left" shrinkToFit="0" vertical="bottom" wrapText="1"/>
    </xf>
    <xf borderId="3" fillId="0" fontId="5" numFmtId="164" xfId="0" applyAlignment="1" applyBorder="1" applyFont="1" applyNumberFormat="1">
      <alignment horizontal="center" shrinkToFit="0" vertical="bottom" wrapText="1"/>
    </xf>
    <xf borderId="3" fillId="0" fontId="10" numFmtId="0" xfId="0" applyAlignment="1" applyBorder="1" applyFont="1">
      <alignment horizontal="left" shrinkToFit="0" vertical="top" wrapText="1"/>
    </xf>
    <xf borderId="3" fillId="0" fontId="5" numFmtId="3" xfId="0" applyAlignment="1" applyBorder="1" applyFont="1" applyNumberFormat="1">
      <alignment horizontal="left" shrinkToFit="0" vertical="bottom" wrapText="1"/>
    </xf>
    <xf borderId="3" fillId="0" fontId="11" numFmtId="0" xfId="0" applyAlignment="1" applyBorder="1" applyFont="1">
      <alignment horizontal="center" shrinkToFit="0" vertical="center" wrapText="1"/>
    </xf>
    <xf borderId="3" fillId="0" fontId="5" numFmtId="0" xfId="0" applyAlignment="1" applyBorder="1" applyFont="1">
      <alignment horizontal="center" shrinkToFit="0" vertical="center" wrapText="1"/>
    </xf>
    <xf borderId="3" fillId="0" fontId="11" numFmtId="164" xfId="0" applyAlignment="1" applyBorder="1" applyFont="1" applyNumberFormat="1">
      <alignment horizontal="center" shrinkToFit="1" vertical="top" wrapText="0"/>
    </xf>
    <xf borderId="0" fillId="0" fontId="6" numFmtId="0" xfId="0" applyAlignment="1" applyFont="1">
      <alignment horizontal="center" vertical="center"/>
    </xf>
    <xf borderId="0" fillId="0" fontId="2" numFmtId="0" xfId="0" applyAlignment="1" applyFont="1">
      <alignment horizontal="left" vertical="center"/>
    </xf>
    <xf borderId="3" fillId="3" fontId="12" numFmtId="0" xfId="0" applyAlignment="1" applyBorder="1" applyFill="1" applyFont="1">
      <alignment horizontal="center" vertical="bottom"/>
    </xf>
    <xf borderId="3" fillId="2" fontId="13" numFmtId="0" xfId="0" applyAlignment="1" applyBorder="1" applyFont="1">
      <alignment horizontal="center" vertical="bottom"/>
    </xf>
    <xf borderId="3" fillId="2" fontId="13" numFmtId="165" xfId="0" applyAlignment="1" applyBorder="1" applyFont="1" applyNumberFormat="1">
      <alignment horizontal="center" vertical="bottom"/>
    </xf>
    <xf borderId="3" fillId="2" fontId="13" numFmtId="165" xfId="0" applyAlignment="1" applyBorder="1" applyFont="1" applyNumberFormat="1">
      <alignment horizontal="left" vertical="bottom"/>
    </xf>
    <xf borderId="3" fillId="4" fontId="13" numFmtId="0" xfId="0" applyAlignment="1" applyBorder="1" applyFill="1" applyFont="1">
      <alignment horizontal="center" vertical="bottom"/>
    </xf>
    <xf borderId="3" fillId="4" fontId="13" numFmtId="165" xfId="0" applyAlignment="1" applyBorder="1" applyFont="1" applyNumberFormat="1">
      <alignment horizontal="left" vertical="bottom"/>
    </xf>
    <xf borderId="3" fillId="4" fontId="13" numFmtId="165" xfId="0" applyAlignment="1" applyBorder="1" applyFont="1" applyNumberFormat="1">
      <alignment horizontal="center" vertical="bottom"/>
    </xf>
    <xf borderId="3" fillId="5" fontId="13" numFmtId="0" xfId="0" applyAlignment="1" applyBorder="1" applyFill="1" applyFont="1">
      <alignment horizontal="center" vertical="bottom"/>
    </xf>
    <xf borderId="3" fillId="5" fontId="13" numFmtId="165" xfId="0" applyAlignment="1" applyBorder="1" applyFont="1" applyNumberFormat="1">
      <alignment horizontal="left" vertical="bottom"/>
    </xf>
    <xf borderId="3" fillId="5" fontId="13" numFmtId="165" xfId="0" applyAlignment="1" applyBorder="1" applyFont="1" applyNumberFormat="1">
      <alignment horizontal="center" vertical="bottom"/>
    </xf>
    <xf borderId="3" fillId="6" fontId="9" numFmtId="0" xfId="0" applyAlignment="1" applyBorder="1" applyFill="1" applyFont="1">
      <alignment horizontal="center" vertical="bottom"/>
    </xf>
    <xf borderId="3" fillId="6" fontId="9" numFmtId="165" xfId="0" applyAlignment="1" applyBorder="1" applyFont="1" applyNumberFormat="1">
      <alignment horizontal="left" vertical="bottom"/>
    </xf>
    <xf borderId="3" fillId="6" fontId="9" numFmtId="165" xfId="0" applyAlignment="1" applyBorder="1" applyFont="1" applyNumberFormat="1">
      <alignment horizontal="center" vertical="bottom"/>
    </xf>
    <xf borderId="3" fillId="7" fontId="9" numFmtId="0" xfId="0" applyAlignment="1" applyBorder="1" applyFill="1" applyFont="1">
      <alignment horizontal="center" vertical="bottom"/>
    </xf>
    <xf borderId="3" fillId="7" fontId="9" numFmtId="165" xfId="0" applyAlignment="1" applyBorder="1" applyFont="1" applyNumberFormat="1">
      <alignment horizontal="left" vertical="bottom"/>
    </xf>
    <xf borderId="3" fillId="7" fontId="9" numFmtId="165" xfId="0" applyAlignment="1" applyBorder="1" applyFont="1" applyNumberFormat="1">
      <alignment horizontal="center" vertical="bottom"/>
    </xf>
    <xf borderId="0" fillId="0" fontId="14" numFmtId="0" xfId="0" applyAlignment="1" applyFont="1">
      <alignment horizontal="left" vertical="top"/>
    </xf>
    <xf borderId="1" fillId="0" fontId="2" numFmtId="0" xfId="0" applyAlignment="1" applyBorder="1" applyFont="1">
      <alignment horizontal="left" readingOrder="0" vertical="center"/>
    </xf>
    <xf borderId="2" fillId="2" fontId="15" numFmtId="164" xfId="0" applyAlignment="1" applyBorder="1" applyFont="1" applyNumberFormat="1">
      <alignment horizontal="left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customschemas.google.com/relationships/workbookmetadata" Target="metadata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93.86"/>
    <col customWidth="1" min="2" max="2" width="20.57"/>
    <col customWidth="1" min="3" max="3" width="29.14"/>
    <col customWidth="1" min="4" max="4" width="21.57"/>
    <col customWidth="1" min="5" max="5" width="25.43"/>
    <col customWidth="1" min="6" max="7" width="9.0"/>
    <col customWidth="1" min="8" max="8" width="7.0"/>
    <col customWidth="1" min="9" max="10" width="20.86"/>
    <col customWidth="1" min="11" max="11" width="18.57"/>
    <col customWidth="1" min="12" max="12" width="20.43"/>
    <col customWidth="1" min="13" max="13" width="18.57"/>
    <col customWidth="1" min="14" max="14" width="27.43"/>
    <col customWidth="1" min="15" max="26" width="9.0"/>
  </cols>
  <sheetData>
    <row r="1" ht="25.5" customHeight="1">
      <c r="A1" s="1" t="s">
        <v>0</v>
      </c>
      <c r="B1" s="1" t="s">
        <v>1</v>
      </c>
      <c r="C1" s="1" t="s">
        <v>2</v>
      </c>
      <c r="D1" s="1" t="s">
        <v>3</v>
      </c>
    </row>
    <row r="2" ht="27.75" customHeight="1">
      <c r="A2" s="2" t="s">
        <v>4</v>
      </c>
      <c r="B2" s="2">
        <v>34.0</v>
      </c>
      <c r="C2" s="2">
        <v>4.0</v>
      </c>
      <c r="D2" s="3">
        <v>2.0</v>
      </c>
    </row>
    <row r="3" ht="27.75" customHeight="1">
      <c r="A3" s="4"/>
      <c r="B3" s="4"/>
      <c r="C3" s="4"/>
    </row>
    <row r="4" ht="35.25" customHeight="1">
      <c r="A4" s="5" t="s">
        <v>5</v>
      </c>
      <c r="B4" s="5" t="s">
        <v>6</v>
      </c>
      <c r="C4" s="5" t="s">
        <v>7</v>
      </c>
      <c r="D4" s="5" t="s">
        <v>8</v>
      </c>
      <c r="E4" s="5" t="s">
        <v>9</v>
      </c>
    </row>
    <row r="5" ht="22.5" customHeight="1">
      <c r="A5" s="6" t="s">
        <v>10</v>
      </c>
      <c r="B5" s="7"/>
      <c r="C5" s="7"/>
      <c r="D5" s="8"/>
      <c r="E5" s="8"/>
    </row>
    <row r="6" ht="22.5" customHeight="1">
      <c r="A6" s="6" t="s">
        <v>11</v>
      </c>
      <c r="B6" s="7"/>
      <c r="C6" s="7"/>
      <c r="D6" s="8"/>
      <c r="E6" s="8"/>
    </row>
    <row r="7" ht="22.5" customHeight="1">
      <c r="A7" s="9" t="s">
        <v>12</v>
      </c>
      <c r="B7" s="10" t="s">
        <v>13</v>
      </c>
      <c r="C7" s="11">
        <v>337500.0</v>
      </c>
      <c r="D7" s="12">
        <f>ROUNDUP($D$2/2,0)</f>
        <v>1</v>
      </c>
      <c r="E7" s="11">
        <f t="shared" ref="E7:E11" si="1">C7*D7</f>
        <v>337500</v>
      </c>
    </row>
    <row r="8" ht="22.5" customHeight="1">
      <c r="A8" s="9" t="s">
        <v>14</v>
      </c>
      <c r="B8" s="10" t="s">
        <v>15</v>
      </c>
      <c r="C8" s="11">
        <v>375000.0</v>
      </c>
      <c r="D8" s="12"/>
      <c r="E8" s="11">
        <f t="shared" si="1"/>
        <v>0</v>
      </c>
      <c r="H8" s="13"/>
      <c r="I8" s="14"/>
      <c r="J8" s="14"/>
      <c r="K8" s="15"/>
      <c r="L8" s="15"/>
      <c r="M8" s="15"/>
      <c r="N8" s="15"/>
    </row>
    <row r="9" ht="22.5" customHeight="1">
      <c r="A9" s="9" t="s">
        <v>16</v>
      </c>
      <c r="B9" s="10" t="s">
        <v>17</v>
      </c>
      <c r="C9" s="11">
        <v>412500.0</v>
      </c>
      <c r="D9" s="12"/>
      <c r="E9" s="11">
        <f t="shared" si="1"/>
        <v>0</v>
      </c>
      <c r="H9" s="13"/>
      <c r="I9" s="14"/>
      <c r="J9" s="14"/>
      <c r="K9" s="15"/>
      <c r="L9" s="15"/>
      <c r="M9" s="15"/>
      <c r="N9" s="15"/>
    </row>
    <row r="10" ht="22.5" customHeight="1">
      <c r="A10" s="9" t="s">
        <v>18</v>
      </c>
      <c r="B10" s="10" t="s">
        <v>19</v>
      </c>
      <c r="C10" s="11">
        <v>487500.0</v>
      </c>
      <c r="D10" s="12"/>
      <c r="E10" s="11">
        <f t="shared" si="1"/>
        <v>0</v>
      </c>
      <c r="H10" s="13"/>
      <c r="I10" s="14"/>
      <c r="J10" s="14"/>
      <c r="K10" s="15"/>
      <c r="L10" s="15"/>
      <c r="M10" s="15"/>
      <c r="N10" s="15"/>
    </row>
    <row r="11" ht="22.5" customHeight="1">
      <c r="A11" s="9" t="s">
        <v>20</v>
      </c>
      <c r="B11" s="10" t="s">
        <v>21</v>
      </c>
      <c r="C11" s="11">
        <v>562500.0</v>
      </c>
      <c r="D11" s="12"/>
      <c r="E11" s="11">
        <f t="shared" si="1"/>
        <v>0</v>
      </c>
      <c r="H11" s="13"/>
      <c r="I11" s="14"/>
      <c r="J11" s="14"/>
      <c r="K11" s="15"/>
      <c r="L11" s="15"/>
      <c r="M11" s="15"/>
      <c r="N11" s="15"/>
    </row>
    <row r="12" ht="22.5" customHeight="1">
      <c r="A12" s="6" t="s">
        <v>22</v>
      </c>
      <c r="B12" s="7"/>
      <c r="C12" s="16"/>
      <c r="D12" s="12"/>
      <c r="E12" s="11"/>
    </row>
    <row r="13" ht="22.5" customHeight="1">
      <c r="A13" s="9" t="s">
        <v>23</v>
      </c>
      <c r="B13" s="10" t="s">
        <v>24</v>
      </c>
      <c r="C13" s="11">
        <v>750000.0</v>
      </c>
      <c r="D13" s="12">
        <f>ROUNDUP($D$2/2,0)</f>
        <v>1</v>
      </c>
      <c r="E13" s="11">
        <f t="shared" ref="E13:E27" si="2">C13*D13</f>
        <v>750000</v>
      </c>
    </row>
    <row r="14" ht="22.5" customHeight="1">
      <c r="A14" s="9" t="s">
        <v>25</v>
      </c>
      <c r="B14" s="10" t="s">
        <v>26</v>
      </c>
      <c r="C14" s="11">
        <v>950000.0</v>
      </c>
      <c r="D14" s="12"/>
      <c r="E14" s="11">
        <f t="shared" si="2"/>
        <v>0</v>
      </c>
    </row>
    <row r="15" ht="22.5" customHeight="1">
      <c r="A15" s="9" t="s">
        <v>27</v>
      </c>
      <c r="B15" s="10" t="s">
        <v>28</v>
      </c>
      <c r="C15" s="11">
        <v>300000.0</v>
      </c>
      <c r="D15" s="12"/>
      <c r="E15" s="11">
        <f t="shared" si="2"/>
        <v>0</v>
      </c>
    </row>
    <row r="16" ht="22.5" customHeight="1">
      <c r="A16" s="6" t="s">
        <v>29</v>
      </c>
      <c r="B16" s="7"/>
      <c r="C16" s="16"/>
      <c r="D16" s="12"/>
      <c r="E16" s="11">
        <f t="shared" si="2"/>
        <v>0</v>
      </c>
    </row>
    <row r="17" ht="22.5" customHeight="1">
      <c r="A17" s="9" t="s">
        <v>30</v>
      </c>
      <c r="B17" s="10" t="s">
        <v>31</v>
      </c>
      <c r="C17" s="11">
        <v>467500.0</v>
      </c>
      <c r="D17" s="12">
        <f>ROUNDUP($D$2/2,0)</f>
        <v>1</v>
      </c>
      <c r="E17" s="11">
        <f t="shared" si="2"/>
        <v>467500</v>
      </c>
    </row>
    <row r="18" ht="22.5" customHeight="1">
      <c r="A18" s="9" t="s">
        <v>32</v>
      </c>
      <c r="B18" s="10" t="s">
        <v>33</v>
      </c>
      <c r="C18" s="11">
        <v>200000.0</v>
      </c>
      <c r="D18" s="12"/>
      <c r="E18" s="11">
        <f t="shared" si="2"/>
        <v>0</v>
      </c>
    </row>
    <row r="19" ht="22.5" customHeight="1">
      <c r="A19" s="9" t="s">
        <v>34</v>
      </c>
      <c r="B19" s="10" t="s">
        <v>35</v>
      </c>
      <c r="C19" s="11">
        <v>260000.0</v>
      </c>
      <c r="D19" s="8"/>
      <c r="E19" s="11">
        <f t="shared" si="2"/>
        <v>0</v>
      </c>
    </row>
    <row r="20" ht="22.5" customHeight="1">
      <c r="A20" s="9" t="s">
        <v>36</v>
      </c>
      <c r="B20" s="10" t="s">
        <v>37</v>
      </c>
      <c r="C20" s="11">
        <v>300000.0</v>
      </c>
      <c r="D20" s="12"/>
      <c r="E20" s="11">
        <f t="shared" si="2"/>
        <v>0</v>
      </c>
    </row>
    <row r="21" ht="22.5" customHeight="1">
      <c r="A21" s="9" t="s">
        <v>38</v>
      </c>
      <c r="B21" s="10" t="s">
        <v>39</v>
      </c>
      <c r="C21" s="11">
        <v>316000.0</v>
      </c>
      <c r="D21" s="12"/>
      <c r="E21" s="11">
        <f t="shared" si="2"/>
        <v>0</v>
      </c>
    </row>
    <row r="22" ht="22.5" customHeight="1">
      <c r="A22" s="9" t="s">
        <v>40</v>
      </c>
      <c r="B22" s="10" t="s">
        <v>41</v>
      </c>
      <c r="C22" s="11">
        <v>380000.0</v>
      </c>
      <c r="D22" s="12"/>
      <c r="E22" s="11">
        <f t="shared" si="2"/>
        <v>0</v>
      </c>
    </row>
    <row r="23" ht="22.5" customHeight="1">
      <c r="A23" s="9" t="s">
        <v>42</v>
      </c>
      <c r="B23" s="10" t="s">
        <v>43</v>
      </c>
      <c r="C23" s="11">
        <v>440000.0</v>
      </c>
      <c r="D23" s="12"/>
      <c r="E23" s="11">
        <f t="shared" si="2"/>
        <v>0</v>
      </c>
    </row>
    <row r="24" ht="22.5" customHeight="1">
      <c r="A24" s="9" t="s">
        <v>44</v>
      </c>
      <c r="B24" s="10" t="s">
        <v>45</v>
      </c>
      <c r="C24" s="11">
        <v>572000.0</v>
      </c>
      <c r="D24" s="12"/>
      <c r="E24" s="11">
        <f t="shared" si="2"/>
        <v>0</v>
      </c>
    </row>
    <row r="25" ht="22.5" customHeight="1">
      <c r="A25" s="9" t="s">
        <v>46</v>
      </c>
      <c r="B25" s="10" t="s">
        <v>47</v>
      </c>
      <c r="C25" s="11">
        <v>617000.0</v>
      </c>
      <c r="D25" s="12"/>
      <c r="E25" s="11">
        <f t="shared" si="2"/>
        <v>0</v>
      </c>
    </row>
    <row r="26" ht="22.5" customHeight="1">
      <c r="A26" s="9" t="s">
        <v>48</v>
      </c>
      <c r="B26" s="10" t="s">
        <v>49</v>
      </c>
      <c r="C26" s="11">
        <v>472000.0</v>
      </c>
      <c r="D26" s="12"/>
      <c r="E26" s="11">
        <f t="shared" si="2"/>
        <v>0</v>
      </c>
    </row>
    <row r="27" ht="22.5" customHeight="1">
      <c r="A27" s="9" t="s">
        <v>50</v>
      </c>
      <c r="B27" s="10" t="s">
        <v>51</v>
      </c>
      <c r="C27" s="11">
        <v>517000.0</v>
      </c>
      <c r="D27" s="12"/>
      <c r="E27" s="11">
        <f t="shared" si="2"/>
        <v>0</v>
      </c>
    </row>
    <row r="28" ht="22.5" customHeight="1">
      <c r="A28" s="6" t="s">
        <v>52</v>
      </c>
      <c r="B28" s="7"/>
      <c r="C28" s="16"/>
      <c r="D28" s="12"/>
      <c r="E28" s="11"/>
    </row>
    <row r="29" ht="22.5" customHeight="1">
      <c r="A29" s="6" t="s">
        <v>53</v>
      </c>
      <c r="B29" s="7"/>
      <c r="C29" s="16"/>
      <c r="D29" s="12"/>
      <c r="E29" s="11"/>
    </row>
    <row r="30" ht="22.5" customHeight="1">
      <c r="A30" s="9" t="s">
        <v>54</v>
      </c>
      <c r="B30" s="10" t="s">
        <v>55</v>
      </c>
      <c r="C30" s="11">
        <v>75000.0</v>
      </c>
      <c r="D30" s="12">
        <f>D2</f>
        <v>2</v>
      </c>
      <c r="E30" s="11">
        <f t="shared" ref="E30:E38" si="3">C30*D30</f>
        <v>150000</v>
      </c>
    </row>
    <row r="31" ht="22.5" customHeight="1">
      <c r="A31" s="9" t="s">
        <v>56</v>
      </c>
      <c r="B31" s="10" t="s">
        <v>57</v>
      </c>
      <c r="C31" s="11">
        <v>55000.0</v>
      </c>
      <c r="D31" s="12"/>
      <c r="E31" s="11">
        <f t="shared" si="3"/>
        <v>0</v>
      </c>
    </row>
    <row r="32" ht="22.5" customHeight="1">
      <c r="A32" s="9" t="s">
        <v>58</v>
      </c>
      <c r="B32" s="10" t="s">
        <v>59</v>
      </c>
      <c r="C32" s="11">
        <v>25000.0</v>
      </c>
      <c r="D32" s="12">
        <f>D2</f>
        <v>2</v>
      </c>
      <c r="E32" s="11">
        <f t="shared" si="3"/>
        <v>50000</v>
      </c>
    </row>
    <row r="33" ht="22.5" customHeight="1">
      <c r="A33" s="9" t="s">
        <v>60</v>
      </c>
      <c r="B33" s="10" t="s">
        <v>61</v>
      </c>
      <c r="C33" s="11">
        <v>250000.0</v>
      </c>
      <c r="D33" s="12">
        <v>1.0</v>
      </c>
      <c r="E33" s="11">
        <f t="shared" si="3"/>
        <v>250000</v>
      </c>
    </row>
    <row r="34" ht="22.5" customHeight="1">
      <c r="A34" s="9" t="s">
        <v>62</v>
      </c>
      <c r="B34" s="10" t="s">
        <v>63</v>
      </c>
      <c r="C34" s="11">
        <v>65000.0</v>
      </c>
      <c r="D34" s="12"/>
      <c r="E34" s="11">
        <f t="shared" si="3"/>
        <v>0</v>
      </c>
    </row>
    <row r="35" ht="22.5" customHeight="1">
      <c r="A35" s="9" t="s">
        <v>64</v>
      </c>
      <c r="B35" s="10" t="s">
        <v>65</v>
      </c>
      <c r="C35" s="11">
        <v>65000.0</v>
      </c>
      <c r="D35" s="12">
        <f>D2</f>
        <v>2</v>
      </c>
      <c r="E35" s="11">
        <f t="shared" si="3"/>
        <v>130000</v>
      </c>
    </row>
    <row r="36" ht="22.5" customHeight="1">
      <c r="A36" s="9" t="s">
        <v>66</v>
      </c>
      <c r="B36" s="10" t="s">
        <v>67</v>
      </c>
      <c r="C36" s="11">
        <v>60000.0</v>
      </c>
      <c r="D36" s="12"/>
      <c r="E36" s="11">
        <f t="shared" si="3"/>
        <v>0</v>
      </c>
    </row>
    <row r="37" ht="22.5" customHeight="1">
      <c r="A37" s="9" t="s">
        <v>68</v>
      </c>
      <c r="B37" s="10" t="s">
        <v>69</v>
      </c>
      <c r="C37" s="11">
        <v>60000.0</v>
      </c>
      <c r="D37" s="12"/>
      <c r="E37" s="11">
        <f t="shared" si="3"/>
        <v>0</v>
      </c>
    </row>
    <row r="38" ht="22.5" customHeight="1">
      <c r="A38" s="9" t="s">
        <v>70</v>
      </c>
      <c r="B38" s="10" t="s">
        <v>71</v>
      </c>
      <c r="C38" s="11">
        <v>35000.0</v>
      </c>
      <c r="D38" s="12"/>
      <c r="E38" s="11">
        <f t="shared" si="3"/>
        <v>0</v>
      </c>
    </row>
    <row r="39" ht="22.5" customHeight="1">
      <c r="A39" s="6" t="s">
        <v>72</v>
      </c>
      <c r="B39" s="7"/>
      <c r="C39" s="17"/>
      <c r="D39" s="12"/>
      <c r="E39" s="11"/>
    </row>
    <row r="40" ht="22.5" customHeight="1">
      <c r="A40" s="9" t="s">
        <v>73</v>
      </c>
      <c r="B40" s="10" t="s">
        <v>74</v>
      </c>
      <c r="C40" s="11">
        <v>160000.0</v>
      </c>
      <c r="D40" s="12">
        <f>D2</f>
        <v>2</v>
      </c>
      <c r="E40" s="11">
        <f t="shared" ref="E40:E45" si="4">C40*D40</f>
        <v>320000</v>
      </c>
    </row>
    <row r="41" ht="22.5" customHeight="1">
      <c r="A41" s="9" t="s">
        <v>75</v>
      </c>
      <c r="B41" s="10" t="s">
        <v>76</v>
      </c>
      <c r="C41" s="11">
        <v>500000.0</v>
      </c>
      <c r="D41" s="12">
        <f>ROUNDUP(D2/4,0)</f>
        <v>1</v>
      </c>
      <c r="E41" s="11">
        <f t="shared" si="4"/>
        <v>500000</v>
      </c>
    </row>
    <row r="42" ht="22.5" customHeight="1">
      <c r="A42" s="6" t="s">
        <v>77</v>
      </c>
      <c r="B42" s="7"/>
      <c r="C42" s="17"/>
      <c r="D42" s="12"/>
      <c r="E42" s="11">
        <f t="shared" si="4"/>
        <v>0</v>
      </c>
    </row>
    <row r="43" ht="22.5" customHeight="1">
      <c r="A43" s="9" t="s">
        <v>78</v>
      </c>
      <c r="B43" s="10" t="s">
        <v>79</v>
      </c>
      <c r="C43" s="11">
        <v>150000.0</v>
      </c>
      <c r="D43" s="12">
        <f>$D$2</f>
        <v>2</v>
      </c>
      <c r="E43" s="11">
        <f t="shared" si="4"/>
        <v>300000</v>
      </c>
    </row>
    <row r="44" ht="22.5" customHeight="1">
      <c r="A44" s="9" t="s">
        <v>80</v>
      </c>
      <c r="B44" s="10" t="s">
        <v>81</v>
      </c>
      <c r="C44" s="11">
        <v>200000.0</v>
      </c>
      <c r="D44" s="12">
        <v>1.0</v>
      </c>
      <c r="E44" s="11">
        <f t="shared" si="4"/>
        <v>200000</v>
      </c>
    </row>
    <row r="45" ht="22.5" customHeight="1">
      <c r="A45" s="9" t="s">
        <v>82</v>
      </c>
      <c r="B45" s="10" t="s">
        <v>83</v>
      </c>
      <c r="C45" s="11">
        <v>50000.0</v>
      </c>
      <c r="D45" s="12">
        <f>$D$2</f>
        <v>2</v>
      </c>
      <c r="E45" s="11">
        <f t="shared" si="4"/>
        <v>100000</v>
      </c>
    </row>
    <row r="46" ht="22.5" customHeight="1">
      <c r="A46" s="6" t="s">
        <v>84</v>
      </c>
      <c r="B46" s="7"/>
      <c r="C46" s="16"/>
      <c r="D46" s="12"/>
      <c r="E46" s="11"/>
    </row>
    <row r="47" ht="22.5" customHeight="1">
      <c r="A47" s="6" t="s">
        <v>85</v>
      </c>
      <c r="B47" s="7"/>
      <c r="C47" s="16"/>
      <c r="D47" s="12"/>
      <c r="E47" s="11"/>
    </row>
    <row r="48" ht="22.5" customHeight="1">
      <c r="A48" s="9" t="s">
        <v>86</v>
      </c>
      <c r="B48" s="10" t="s">
        <v>87</v>
      </c>
      <c r="C48" s="11">
        <v>450000.0</v>
      </c>
      <c r="D48" s="12">
        <f>IF($D$2=1,4, IF($D$2=2,4,0))</f>
        <v>4</v>
      </c>
      <c r="E48" s="11">
        <f t="shared" ref="E48:E52" si="5">C48*D48</f>
        <v>1800000</v>
      </c>
    </row>
    <row r="49" ht="22.5" customHeight="1">
      <c r="A49" s="9" t="s">
        <v>88</v>
      </c>
      <c r="B49" s="10" t="s">
        <v>89</v>
      </c>
      <c r="C49" s="11">
        <v>550000.0</v>
      </c>
      <c r="D49" s="12">
        <f>IF($D$2=3,4, 0)</f>
        <v>0</v>
      </c>
      <c r="E49" s="11">
        <f t="shared" si="5"/>
        <v>0</v>
      </c>
    </row>
    <row r="50" ht="22.5" customHeight="1">
      <c r="A50" s="9" t="s">
        <v>90</v>
      </c>
      <c r="B50" s="10" t="s">
        <v>91</v>
      </c>
      <c r="C50" s="11">
        <v>1100000.0</v>
      </c>
      <c r="D50" s="12">
        <f>IF((($D$2&gt;=4)*($D$2&lt;=11))=1,4,0)</f>
        <v>0</v>
      </c>
      <c r="E50" s="11">
        <f t="shared" si="5"/>
        <v>0</v>
      </c>
    </row>
    <row r="51" ht="22.5" customHeight="1">
      <c r="A51" s="9" t="s">
        <v>92</v>
      </c>
      <c r="B51" s="10" t="s">
        <v>93</v>
      </c>
      <c r="C51" s="11">
        <v>1300000.0</v>
      </c>
      <c r="D51" s="12"/>
      <c r="E51" s="11">
        <f t="shared" si="5"/>
        <v>0</v>
      </c>
    </row>
    <row r="52" ht="22.5" customHeight="1">
      <c r="A52" s="9" t="s">
        <v>94</v>
      </c>
      <c r="B52" s="10" t="s">
        <v>95</v>
      </c>
      <c r="C52" s="11">
        <v>650000.0</v>
      </c>
      <c r="D52" s="12">
        <f>IF((($D$2&gt;=10)*($D$2&lt;=11))=1,1,0)</f>
        <v>0</v>
      </c>
      <c r="E52" s="11">
        <f t="shared" si="5"/>
        <v>0</v>
      </c>
    </row>
    <row r="53" ht="22.5" customHeight="1">
      <c r="A53" s="6" t="s">
        <v>96</v>
      </c>
      <c r="B53" s="7"/>
      <c r="C53" s="16"/>
      <c r="D53" s="12"/>
      <c r="E53" s="11"/>
    </row>
    <row r="54" ht="22.5" customHeight="1">
      <c r="A54" s="9" t="s">
        <v>97</v>
      </c>
      <c r="B54" s="10" t="s">
        <v>98</v>
      </c>
      <c r="C54" s="11">
        <v>200000.0</v>
      </c>
      <c r="D54" s="12">
        <f>IF((($D$2&gt;=10)*($D$2&lt;=11))=1,2,1)</f>
        <v>1</v>
      </c>
      <c r="E54" s="11">
        <f t="shared" ref="E54:E59" si="6">C54*D54</f>
        <v>200000</v>
      </c>
    </row>
    <row r="55" ht="22.5" customHeight="1">
      <c r="A55" s="9" t="s">
        <v>99</v>
      </c>
      <c r="B55" s="10" t="s">
        <v>100</v>
      </c>
      <c r="C55" s="11">
        <v>300000.0</v>
      </c>
      <c r="D55" s="12"/>
      <c r="E55" s="11">
        <f t="shared" si="6"/>
        <v>0</v>
      </c>
    </row>
    <row r="56" ht="22.5" customHeight="1">
      <c r="A56" s="6" t="s">
        <v>101</v>
      </c>
      <c r="B56" s="7"/>
      <c r="C56" s="16"/>
      <c r="D56" s="12"/>
      <c r="E56" s="11">
        <f t="shared" si="6"/>
        <v>0</v>
      </c>
    </row>
    <row r="57" ht="22.5" customHeight="1">
      <c r="A57" s="9" t="s">
        <v>102</v>
      </c>
      <c r="B57" s="10" t="s">
        <v>103</v>
      </c>
      <c r="C57" s="11">
        <v>200000.0</v>
      </c>
      <c r="D57" s="12"/>
      <c r="E57" s="11">
        <f t="shared" si="6"/>
        <v>0</v>
      </c>
    </row>
    <row r="58" ht="22.5" customHeight="1">
      <c r="A58" s="18" t="s">
        <v>104</v>
      </c>
      <c r="B58" s="7"/>
      <c r="C58" s="16"/>
      <c r="D58" s="12"/>
      <c r="E58" s="11">
        <f t="shared" si="6"/>
        <v>0</v>
      </c>
    </row>
    <row r="59" ht="22.5" customHeight="1">
      <c r="A59" s="9" t="s">
        <v>105</v>
      </c>
      <c r="B59" s="10" t="s">
        <v>106</v>
      </c>
      <c r="C59" s="11">
        <v>650000.0</v>
      </c>
      <c r="D59" s="12"/>
      <c r="E59" s="11">
        <f t="shared" si="6"/>
        <v>0</v>
      </c>
    </row>
    <row r="60" ht="22.5" customHeight="1">
      <c r="A60" s="6" t="s">
        <v>107</v>
      </c>
      <c r="B60" s="7"/>
      <c r="C60" s="16"/>
      <c r="D60" s="12"/>
      <c r="E60" s="11"/>
    </row>
    <row r="61" ht="22.5" customHeight="1">
      <c r="A61" s="6" t="s">
        <v>108</v>
      </c>
      <c r="B61" s="7"/>
      <c r="C61" s="16"/>
      <c r="D61" s="12"/>
      <c r="E61" s="11"/>
    </row>
    <row r="62" ht="22.5" customHeight="1">
      <c r="A62" s="9" t="s">
        <v>109</v>
      </c>
      <c r="B62" s="10" t="s">
        <v>110</v>
      </c>
      <c r="C62" s="11">
        <v>250000.0</v>
      </c>
      <c r="D62" s="12">
        <f>IF((($D$2&gt;=1)*($D$2&lt;=3))=1,4,0)</f>
        <v>4</v>
      </c>
      <c r="E62" s="11">
        <f t="shared" ref="E62:E74" si="7">C62*D62</f>
        <v>1000000</v>
      </c>
    </row>
    <row r="63" ht="22.5" customHeight="1">
      <c r="A63" s="9" t="s">
        <v>111</v>
      </c>
      <c r="B63" s="10" t="s">
        <v>112</v>
      </c>
      <c r="C63" s="11">
        <v>250000.0</v>
      </c>
      <c r="D63" s="12">
        <f>IF((($D$2&gt;=4)*($D$2&lt;=11))=1,4,0)</f>
        <v>0</v>
      </c>
      <c r="E63" s="11">
        <f t="shared" si="7"/>
        <v>0</v>
      </c>
    </row>
    <row r="64" ht="22.5" customHeight="1">
      <c r="A64" s="9" t="s">
        <v>113</v>
      </c>
      <c r="B64" s="10" t="s">
        <v>114</v>
      </c>
      <c r="C64" s="11">
        <v>200000.0</v>
      </c>
      <c r="D64" s="12"/>
      <c r="E64" s="11">
        <f t="shared" si="7"/>
        <v>0</v>
      </c>
    </row>
    <row r="65" ht="22.5" customHeight="1">
      <c r="A65" s="6" t="s">
        <v>115</v>
      </c>
      <c r="B65" s="7"/>
      <c r="C65" s="16"/>
      <c r="D65" s="12"/>
      <c r="E65" s="11">
        <f t="shared" si="7"/>
        <v>0</v>
      </c>
    </row>
    <row r="66" ht="22.5" customHeight="1">
      <c r="A66" s="6" t="s">
        <v>116</v>
      </c>
      <c r="B66" s="7"/>
      <c r="C66" s="16"/>
      <c r="D66" s="12"/>
      <c r="E66" s="11">
        <f t="shared" si="7"/>
        <v>0</v>
      </c>
    </row>
    <row r="67" ht="22.5" customHeight="1">
      <c r="A67" s="9" t="s">
        <v>117</v>
      </c>
      <c r="B67" s="10" t="s">
        <v>118</v>
      </c>
      <c r="C67" s="11">
        <v>50000.0</v>
      </c>
      <c r="D67" s="12">
        <f>ROUNDUP(D2*C2*4/24,0)</f>
        <v>2</v>
      </c>
      <c r="E67" s="11">
        <f t="shared" si="7"/>
        <v>100000</v>
      </c>
    </row>
    <row r="68" ht="22.5" customHeight="1">
      <c r="A68" s="9" t="s">
        <v>119</v>
      </c>
      <c r="B68" s="10" t="s">
        <v>120</v>
      </c>
      <c r="C68" s="11">
        <v>100000.0</v>
      </c>
      <c r="D68" s="12">
        <v>1.0</v>
      </c>
      <c r="E68" s="11">
        <f t="shared" si="7"/>
        <v>100000</v>
      </c>
    </row>
    <row r="69" ht="22.5" customHeight="1">
      <c r="A69" s="9" t="s">
        <v>121</v>
      </c>
      <c r="B69" s="10" t="s">
        <v>122</v>
      </c>
      <c r="C69" s="11">
        <v>60000.0</v>
      </c>
      <c r="D69" s="12">
        <f>D2</f>
        <v>2</v>
      </c>
      <c r="E69" s="11">
        <f t="shared" si="7"/>
        <v>120000</v>
      </c>
    </row>
    <row r="70" ht="22.5" customHeight="1">
      <c r="A70" s="6" t="s">
        <v>123</v>
      </c>
      <c r="B70" s="7"/>
      <c r="C70" s="19"/>
      <c r="D70" s="12"/>
      <c r="E70" s="11">
        <f t="shared" si="7"/>
        <v>0</v>
      </c>
    </row>
    <row r="71" ht="22.5" customHeight="1">
      <c r="A71" s="9" t="s">
        <v>124</v>
      </c>
      <c r="B71" s="10" t="s">
        <v>125</v>
      </c>
      <c r="C71" s="12">
        <v>2000000.0</v>
      </c>
      <c r="D71" s="12"/>
      <c r="E71" s="11">
        <f t="shared" si="7"/>
        <v>0</v>
      </c>
    </row>
    <row r="72" ht="22.5" customHeight="1">
      <c r="A72" s="6" t="s">
        <v>126</v>
      </c>
      <c r="B72" s="7"/>
      <c r="C72" s="19"/>
      <c r="D72" s="12"/>
      <c r="E72" s="11">
        <f t="shared" si="7"/>
        <v>0</v>
      </c>
    </row>
    <row r="73" ht="22.5" customHeight="1">
      <c r="A73" s="9" t="s">
        <v>127</v>
      </c>
      <c r="B73" s="10" t="s">
        <v>128</v>
      </c>
      <c r="C73" s="12">
        <v>16000.0</v>
      </c>
      <c r="D73" s="12">
        <f>D2</f>
        <v>2</v>
      </c>
      <c r="E73" s="11">
        <f t="shared" si="7"/>
        <v>32000</v>
      </c>
    </row>
    <row r="74" ht="22.5" customHeight="1">
      <c r="A74" s="9" t="s">
        <v>129</v>
      </c>
      <c r="B74" s="10" t="s">
        <v>130</v>
      </c>
      <c r="C74" s="12">
        <v>100000.0</v>
      </c>
      <c r="D74" s="12"/>
      <c r="E74" s="11">
        <f t="shared" si="7"/>
        <v>0</v>
      </c>
    </row>
    <row r="75" ht="30.0" customHeight="1">
      <c r="A75" s="20" t="s">
        <v>131</v>
      </c>
      <c r="B75" s="21"/>
      <c r="C75" s="5"/>
      <c r="D75" s="12"/>
      <c r="E75" s="22">
        <f>SUM(E7:E74)</f>
        <v>6907000</v>
      </c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</row>
    <row r="76" ht="36.0" customHeight="1">
      <c r="A76" s="20" t="s">
        <v>132</v>
      </c>
      <c r="B76" s="8"/>
      <c r="C76" s="8"/>
      <c r="D76" s="8"/>
      <c r="E76" s="22">
        <f>E75/D2</f>
        <v>3453500</v>
      </c>
    </row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fitToHeight="0"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14"/>
    <col customWidth="1" min="2" max="2" width="20.86"/>
    <col customWidth="1" min="3" max="3" width="22.14"/>
    <col customWidth="1" min="4" max="5" width="20.0"/>
    <col customWidth="1" min="6" max="6" width="19.86"/>
    <col customWidth="1" min="7" max="7" width="28.0"/>
    <col customWidth="1" min="8" max="26" width="9.0"/>
  </cols>
  <sheetData>
    <row r="1" ht="27.75" customHeight="1">
      <c r="A1" s="24"/>
      <c r="B1" s="24"/>
      <c r="C1" s="24"/>
      <c r="D1" s="24"/>
    </row>
    <row r="2" ht="12.75" customHeight="1">
      <c r="A2" s="25" t="s">
        <v>133</v>
      </c>
      <c r="B2" s="25" t="s">
        <v>132</v>
      </c>
      <c r="C2" s="25" t="s">
        <v>131</v>
      </c>
      <c r="D2" s="25" t="s">
        <v>134</v>
      </c>
      <c r="E2" s="25" t="s">
        <v>135</v>
      </c>
      <c r="F2" s="25" t="s">
        <v>136</v>
      </c>
      <c r="G2" s="25" t="s">
        <v>137</v>
      </c>
    </row>
    <row r="3" ht="12.75" customHeight="1">
      <c r="A3" s="26">
        <v>1.0</v>
      </c>
      <c r="B3" s="27">
        <f>'1 Pax'!E76</f>
        <v>6256000</v>
      </c>
      <c r="C3" s="28">
        <f t="shared" ref="C3:C13" si="1">B3*A3</f>
        <v>6256000</v>
      </c>
      <c r="D3" s="27">
        <v>8000000.0</v>
      </c>
      <c r="E3" s="27">
        <f t="shared" ref="E3:E13" si="2">D3*A3</f>
        <v>8000000</v>
      </c>
      <c r="F3" s="27">
        <f t="shared" ref="F3:F13" si="3">E3-C3</f>
        <v>1744000</v>
      </c>
      <c r="G3" s="27">
        <f t="shared" ref="G3:G13" si="4">F3/E3*100</f>
        <v>21.8</v>
      </c>
    </row>
    <row r="4" ht="12.75" customHeight="1">
      <c r="A4" s="26">
        <v>2.0</v>
      </c>
      <c r="B4" s="27">
        <f>'2 Pax'!E76</f>
        <v>3453500</v>
      </c>
      <c r="C4" s="28">
        <f t="shared" si="1"/>
        <v>6907000</v>
      </c>
      <c r="D4" s="27">
        <v>4500000.0</v>
      </c>
      <c r="E4" s="27">
        <f t="shared" si="2"/>
        <v>9000000</v>
      </c>
      <c r="F4" s="27">
        <f t="shared" si="3"/>
        <v>2093000</v>
      </c>
      <c r="G4" s="27">
        <f t="shared" si="4"/>
        <v>23.25555556</v>
      </c>
    </row>
    <row r="5" ht="12.75" customHeight="1">
      <c r="A5" s="29">
        <v>3.0</v>
      </c>
      <c r="B5" s="30">
        <f>'3 Pax'!E76</f>
        <v>2711000</v>
      </c>
      <c r="C5" s="30">
        <f t="shared" si="1"/>
        <v>8133000</v>
      </c>
      <c r="D5" s="31">
        <v>4300000.0</v>
      </c>
      <c r="E5" s="31">
        <f t="shared" si="2"/>
        <v>12900000</v>
      </c>
      <c r="F5" s="31">
        <f t="shared" si="3"/>
        <v>4767000</v>
      </c>
      <c r="G5" s="31">
        <f t="shared" si="4"/>
        <v>36.95348837</v>
      </c>
    </row>
    <row r="6" ht="12.75" customHeight="1">
      <c r="A6" s="29">
        <v>4.0</v>
      </c>
      <c r="B6" s="30">
        <f>'4 Pax'!E76</f>
        <v>3078500</v>
      </c>
      <c r="C6" s="30">
        <f t="shared" si="1"/>
        <v>12314000</v>
      </c>
      <c r="D6" s="31">
        <v>4000000.0</v>
      </c>
      <c r="E6" s="31">
        <f t="shared" si="2"/>
        <v>16000000</v>
      </c>
      <c r="F6" s="31">
        <f t="shared" si="3"/>
        <v>3686000</v>
      </c>
      <c r="G6" s="31">
        <f t="shared" si="4"/>
        <v>23.0375</v>
      </c>
    </row>
    <row r="7" ht="12.75" customHeight="1">
      <c r="A7" s="32">
        <v>5.0</v>
      </c>
      <c r="B7" s="33">
        <f>'5 Pax'!E76</f>
        <v>2818000</v>
      </c>
      <c r="C7" s="33">
        <f t="shared" si="1"/>
        <v>14090000</v>
      </c>
      <c r="D7" s="34">
        <v>4000000.0</v>
      </c>
      <c r="E7" s="34">
        <f t="shared" si="2"/>
        <v>20000000</v>
      </c>
      <c r="F7" s="34">
        <f t="shared" si="3"/>
        <v>5910000</v>
      </c>
      <c r="G7" s="34">
        <f t="shared" si="4"/>
        <v>29.55</v>
      </c>
    </row>
    <row r="8" ht="12.75" customHeight="1">
      <c r="A8" s="32">
        <v>6.0</v>
      </c>
      <c r="B8" s="33">
        <f>'6 Pax'!E76</f>
        <v>2603500</v>
      </c>
      <c r="C8" s="33">
        <f t="shared" si="1"/>
        <v>15621000</v>
      </c>
      <c r="D8" s="34">
        <v>3700000.0</v>
      </c>
      <c r="E8" s="34">
        <f t="shared" si="2"/>
        <v>22200000</v>
      </c>
      <c r="F8" s="34">
        <f t="shared" si="3"/>
        <v>6579000</v>
      </c>
      <c r="G8" s="34">
        <f t="shared" si="4"/>
        <v>29.63513514</v>
      </c>
    </row>
    <row r="9" ht="12.75" customHeight="1">
      <c r="A9" s="32">
        <v>7.0</v>
      </c>
      <c r="B9" s="33">
        <f>'7 Pax'!E76</f>
        <v>2413857.143</v>
      </c>
      <c r="C9" s="33">
        <f t="shared" si="1"/>
        <v>16897000</v>
      </c>
      <c r="D9" s="34">
        <v>3700000.0</v>
      </c>
      <c r="E9" s="34">
        <f t="shared" si="2"/>
        <v>25900000</v>
      </c>
      <c r="F9" s="34">
        <f t="shared" si="3"/>
        <v>9003000</v>
      </c>
      <c r="G9" s="34">
        <f t="shared" si="4"/>
        <v>34.76061776</v>
      </c>
    </row>
    <row r="10" ht="12.75" customHeight="1">
      <c r="A10" s="35">
        <v>8.0</v>
      </c>
      <c r="B10" s="36">
        <f>'8 Pax'!E76</f>
        <v>2309750</v>
      </c>
      <c r="C10" s="36">
        <f t="shared" si="1"/>
        <v>18478000</v>
      </c>
      <c r="D10" s="37">
        <v>3225000.0</v>
      </c>
      <c r="E10" s="37">
        <f t="shared" si="2"/>
        <v>25800000</v>
      </c>
      <c r="F10" s="37">
        <f t="shared" si="3"/>
        <v>7322000</v>
      </c>
      <c r="G10" s="37">
        <f t="shared" si="4"/>
        <v>28.37984496</v>
      </c>
    </row>
    <row r="11" ht="12.75" customHeight="1">
      <c r="A11" s="35">
        <v>9.0</v>
      </c>
      <c r="B11" s="36">
        <f>'9 Pax'!E76</f>
        <v>2244888.889</v>
      </c>
      <c r="C11" s="36">
        <f t="shared" si="1"/>
        <v>20204000</v>
      </c>
      <c r="D11" s="37">
        <v>3225000.0</v>
      </c>
      <c r="E11" s="37">
        <f t="shared" si="2"/>
        <v>29025000</v>
      </c>
      <c r="F11" s="37">
        <f t="shared" si="3"/>
        <v>8821000</v>
      </c>
      <c r="G11" s="37">
        <f t="shared" si="4"/>
        <v>30.3910422</v>
      </c>
    </row>
    <row r="12" ht="12.75" customHeight="1">
      <c r="A12" s="35">
        <v>10.0</v>
      </c>
      <c r="B12" s="36">
        <f>'10 Pax'!E76</f>
        <v>2458500</v>
      </c>
      <c r="C12" s="36">
        <f t="shared" si="1"/>
        <v>24585000</v>
      </c>
      <c r="D12" s="37">
        <v>3225000.0</v>
      </c>
      <c r="E12" s="37">
        <f t="shared" si="2"/>
        <v>32250000</v>
      </c>
      <c r="F12" s="37">
        <f t="shared" si="3"/>
        <v>7665000</v>
      </c>
      <c r="G12" s="37">
        <f t="shared" si="4"/>
        <v>23.76744186</v>
      </c>
    </row>
    <row r="13" ht="12.75" customHeight="1">
      <c r="A13" s="38">
        <v>11.0</v>
      </c>
      <c r="B13" s="39">
        <f>'11 Pax'!E76</f>
        <v>2435545.455</v>
      </c>
      <c r="C13" s="39">
        <f t="shared" si="1"/>
        <v>26791000</v>
      </c>
      <c r="D13" s="40">
        <v>3075000.0</v>
      </c>
      <c r="E13" s="40">
        <f t="shared" si="2"/>
        <v>33825000</v>
      </c>
      <c r="F13" s="40">
        <f t="shared" si="3"/>
        <v>7034000</v>
      </c>
      <c r="G13" s="40">
        <f t="shared" si="4"/>
        <v>20.79526977</v>
      </c>
    </row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93.86"/>
    <col customWidth="1" min="2" max="2" width="20.57"/>
    <col customWidth="1" min="3" max="3" width="29.14"/>
    <col customWidth="1" min="4" max="4" width="21.57"/>
    <col customWidth="1" min="5" max="5" width="25.43"/>
    <col customWidth="1" min="6" max="7" width="9.0"/>
    <col customWidth="1" min="8" max="8" width="7.0"/>
    <col customWidth="1" min="9" max="10" width="20.86"/>
    <col customWidth="1" min="11" max="11" width="18.57"/>
    <col customWidth="1" min="12" max="12" width="20.43"/>
    <col customWidth="1" min="13" max="13" width="18.57"/>
    <col customWidth="1" min="14" max="14" width="27.43"/>
    <col customWidth="1" min="15" max="26" width="9.0"/>
  </cols>
  <sheetData>
    <row r="1" ht="25.5" customHeight="1">
      <c r="A1" s="1" t="s">
        <v>0</v>
      </c>
      <c r="B1" s="1" t="s">
        <v>1</v>
      </c>
      <c r="C1" s="1" t="s">
        <v>2</v>
      </c>
      <c r="D1" s="1" t="s">
        <v>3</v>
      </c>
    </row>
    <row r="2" ht="27.75" customHeight="1">
      <c r="A2" s="2" t="s">
        <v>4</v>
      </c>
      <c r="B2" s="2">
        <v>34.0</v>
      </c>
      <c r="C2" s="2">
        <v>4.0</v>
      </c>
      <c r="D2" s="3">
        <v>1.0</v>
      </c>
    </row>
    <row r="3" ht="27.75" customHeight="1">
      <c r="A3" s="4"/>
      <c r="B3" s="4"/>
      <c r="C3" s="4"/>
    </row>
    <row r="4" ht="35.25" customHeight="1">
      <c r="A4" s="5" t="s">
        <v>138</v>
      </c>
      <c r="B4" s="5" t="s">
        <v>139</v>
      </c>
      <c r="C4" s="5" t="s">
        <v>140</v>
      </c>
      <c r="D4" s="5" t="s">
        <v>8</v>
      </c>
      <c r="E4" s="5" t="s">
        <v>9</v>
      </c>
    </row>
    <row r="5" ht="22.5" customHeight="1">
      <c r="A5" s="6" t="s">
        <v>141</v>
      </c>
      <c r="B5" s="7"/>
      <c r="C5" s="7"/>
      <c r="D5" s="8"/>
      <c r="E5" s="8"/>
    </row>
    <row r="6" ht="22.5" customHeight="1">
      <c r="A6" s="6" t="s">
        <v>142</v>
      </c>
      <c r="B6" s="7"/>
      <c r="C6" s="7"/>
      <c r="D6" s="8"/>
      <c r="E6" s="8"/>
    </row>
    <row r="7" ht="22.5" customHeight="1">
      <c r="A7" s="9" t="s">
        <v>12</v>
      </c>
      <c r="B7" s="10" t="s">
        <v>143</v>
      </c>
      <c r="C7" s="11">
        <v>337500.0</v>
      </c>
      <c r="D7" s="12">
        <f>ROUNDUP($D$2/2,0)</f>
        <v>1</v>
      </c>
      <c r="E7" s="11">
        <f t="shared" ref="E7:E11" si="1">C7*D7</f>
        <v>337500</v>
      </c>
    </row>
    <row r="8" ht="22.5" customHeight="1">
      <c r="A8" s="9" t="s">
        <v>14</v>
      </c>
      <c r="B8" s="10" t="s">
        <v>144</v>
      </c>
      <c r="C8" s="11">
        <v>375000.0</v>
      </c>
      <c r="D8" s="12"/>
      <c r="E8" s="11">
        <f t="shared" si="1"/>
        <v>0</v>
      </c>
      <c r="H8" s="13"/>
      <c r="I8" s="14"/>
      <c r="J8" s="14"/>
      <c r="K8" s="15"/>
      <c r="L8" s="15"/>
      <c r="M8" s="15"/>
      <c r="N8" s="15"/>
    </row>
    <row r="9" ht="22.5" customHeight="1">
      <c r="A9" s="9" t="s">
        <v>16</v>
      </c>
      <c r="B9" s="10" t="s">
        <v>145</v>
      </c>
      <c r="C9" s="11">
        <v>412500.0</v>
      </c>
      <c r="D9" s="12"/>
      <c r="E9" s="11">
        <f t="shared" si="1"/>
        <v>0</v>
      </c>
      <c r="H9" s="13"/>
      <c r="I9" s="14"/>
      <c r="J9" s="14"/>
      <c r="K9" s="15"/>
      <c r="L9" s="15"/>
      <c r="M9" s="15"/>
      <c r="N9" s="15"/>
    </row>
    <row r="10" ht="22.5" customHeight="1">
      <c r="A10" s="9" t="s">
        <v>18</v>
      </c>
      <c r="B10" s="10" t="s">
        <v>146</v>
      </c>
      <c r="C10" s="11">
        <v>487500.0</v>
      </c>
      <c r="D10" s="12"/>
      <c r="E10" s="11">
        <f t="shared" si="1"/>
        <v>0</v>
      </c>
      <c r="H10" s="13"/>
      <c r="I10" s="14"/>
      <c r="J10" s="14"/>
      <c r="K10" s="15"/>
      <c r="L10" s="15"/>
      <c r="M10" s="15"/>
      <c r="N10" s="15"/>
    </row>
    <row r="11" ht="22.5" customHeight="1">
      <c r="A11" s="9" t="s">
        <v>20</v>
      </c>
      <c r="B11" s="10" t="s">
        <v>147</v>
      </c>
      <c r="C11" s="11">
        <v>562500.0</v>
      </c>
      <c r="D11" s="12"/>
      <c r="E11" s="11">
        <f t="shared" si="1"/>
        <v>0</v>
      </c>
      <c r="H11" s="13"/>
      <c r="I11" s="14"/>
      <c r="J11" s="14"/>
      <c r="K11" s="15"/>
      <c r="L11" s="15"/>
      <c r="M11" s="15"/>
      <c r="N11" s="15"/>
    </row>
    <row r="12" ht="22.5" customHeight="1">
      <c r="A12" s="6" t="s">
        <v>148</v>
      </c>
      <c r="B12" s="7"/>
      <c r="C12" s="16"/>
      <c r="D12" s="12"/>
      <c r="E12" s="11"/>
    </row>
    <row r="13" ht="22.5" customHeight="1">
      <c r="A13" s="9" t="s">
        <v>23</v>
      </c>
      <c r="B13" s="10" t="s">
        <v>149</v>
      </c>
      <c r="C13" s="11">
        <v>750000.0</v>
      </c>
      <c r="D13" s="12">
        <f>ROUNDUP($D$2/2,0)</f>
        <v>1</v>
      </c>
      <c r="E13" s="11">
        <f t="shared" ref="E13:E27" si="2">C13*D13</f>
        <v>750000</v>
      </c>
    </row>
    <row r="14" ht="22.5" customHeight="1">
      <c r="A14" s="9" t="s">
        <v>25</v>
      </c>
      <c r="B14" s="10" t="s">
        <v>150</v>
      </c>
      <c r="C14" s="11">
        <v>950000.0</v>
      </c>
      <c r="D14" s="12"/>
      <c r="E14" s="11">
        <f t="shared" si="2"/>
        <v>0</v>
      </c>
    </row>
    <row r="15" ht="22.5" customHeight="1">
      <c r="A15" s="9" t="s">
        <v>27</v>
      </c>
      <c r="B15" s="10" t="s">
        <v>151</v>
      </c>
      <c r="C15" s="11">
        <v>300000.0</v>
      </c>
      <c r="D15" s="12"/>
      <c r="E15" s="11">
        <f t="shared" si="2"/>
        <v>0</v>
      </c>
    </row>
    <row r="16" ht="22.5" customHeight="1">
      <c r="A16" s="6" t="s">
        <v>152</v>
      </c>
      <c r="B16" s="7"/>
      <c r="C16" s="16"/>
      <c r="D16" s="12"/>
      <c r="E16" s="11">
        <f t="shared" si="2"/>
        <v>0</v>
      </c>
    </row>
    <row r="17" ht="22.5" customHeight="1">
      <c r="A17" s="9" t="s">
        <v>30</v>
      </c>
      <c r="B17" s="10" t="s">
        <v>153</v>
      </c>
      <c r="C17" s="11">
        <v>467500.0</v>
      </c>
      <c r="D17" s="12">
        <f>ROUNDUP($D$2/2,0)</f>
        <v>1</v>
      </c>
      <c r="E17" s="11">
        <f t="shared" si="2"/>
        <v>467500</v>
      </c>
    </row>
    <row r="18" ht="22.5" customHeight="1">
      <c r="A18" s="9" t="s">
        <v>32</v>
      </c>
      <c r="B18" s="10" t="s">
        <v>154</v>
      </c>
      <c r="C18" s="11">
        <v>200000.0</v>
      </c>
      <c r="D18" s="12"/>
      <c r="E18" s="11">
        <f t="shared" si="2"/>
        <v>0</v>
      </c>
    </row>
    <row r="19" ht="22.5" customHeight="1">
      <c r="A19" s="9" t="s">
        <v>34</v>
      </c>
      <c r="B19" s="10" t="s">
        <v>155</v>
      </c>
      <c r="C19" s="11">
        <v>260000.0</v>
      </c>
      <c r="D19" s="8"/>
      <c r="E19" s="11">
        <f t="shared" si="2"/>
        <v>0</v>
      </c>
    </row>
    <row r="20" ht="22.5" customHeight="1">
      <c r="A20" s="9" t="s">
        <v>36</v>
      </c>
      <c r="B20" s="10" t="s">
        <v>156</v>
      </c>
      <c r="C20" s="11">
        <v>300000.0</v>
      </c>
      <c r="D20" s="12"/>
      <c r="E20" s="11">
        <f t="shared" si="2"/>
        <v>0</v>
      </c>
    </row>
    <row r="21" ht="22.5" customHeight="1">
      <c r="A21" s="9" t="s">
        <v>157</v>
      </c>
      <c r="B21" s="10" t="s">
        <v>158</v>
      </c>
      <c r="C21" s="11">
        <v>316000.0</v>
      </c>
      <c r="D21" s="12"/>
      <c r="E21" s="11">
        <f t="shared" si="2"/>
        <v>0</v>
      </c>
    </row>
    <row r="22" ht="22.5" customHeight="1">
      <c r="A22" s="9" t="s">
        <v>159</v>
      </c>
      <c r="B22" s="10" t="s">
        <v>160</v>
      </c>
      <c r="C22" s="11">
        <v>380000.0</v>
      </c>
      <c r="D22" s="12"/>
      <c r="E22" s="11">
        <f t="shared" si="2"/>
        <v>0</v>
      </c>
    </row>
    <row r="23" ht="22.5" customHeight="1">
      <c r="A23" s="9" t="s">
        <v>161</v>
      </c>
      <c r="B23" s="10" t="s">
        <v>162</v>
      </c>
      <c r="C23" s="11">
        <v>440000.0</v>
      </c>
      <c r="D23" s="12"/>
      <c r="E23" s="11">
        <f t="shared" si="2"/>
        <v>0</v>
      </c>
    </row>
    <row r="24" ht="22.5" customHeight="1">
      <c r="A24" s="9" t="s">
        <v>44</v>
      </c>
      <c r="B24" s="10" t="s">
        <v>163</v>
      </c>
      <c r="C24" s="11">
        <v>572000.0</v>
      </c>
      <c r="D24" s="12"/>
      <c r="E24" s="11">
        <f t="shared" si="2"/>
        <v>0</v>
      </c>
    </row>
    <row r="25" ht="22.5" customHeight="1">
      <c r="A25" s="9" t="s">
        <v>46</v>
      </c>
      <c r="B25" s="10" t="s">
        <v>164</v>
      </c>
      <c r="C25" s="11">
        <v>617000.0</v>
      </c>
      <c r="D25" s="12"/>
      <c r="E25" s="11">
        <f t="shared" si="2"/>
        <v>0</v>
      </c>
    </row>
    <row r="26" ht="22.5" customHeight="1">
      <c r="A26" s="9" t="s">
        <v>48</v>
      </c>
      <c r="B26" s="10" t="s">
        <v>165</v>
      </c>
      <c r="C26" s="11">
        <v>472000.0</v>
      </c>
      <c r="D26" s="12"/>
      <c r="E26" s="11">
        <f t="shared" si="2"/>
        <v>0</v>
      </c>
    </row>
    <row r="27" ht="22.5" customHeight="1">
      <c r="A27" s="9" t="s">
        <v>50</v>
      </c>
      <c r="B27" s="10" t="s">
        <v>166</v>
      </c>
      <c r="C27" s="11">
        <v>517000.0</v>
      </c>
      <c r="D27" s="12"/>
      <c r="E27" s="11">
        <f t="shared" si="2"/>
        <v>0</v>
      </c>
    </row>
    <row r="28" ht="22.5" customHeight="1">
      <c r="A28" s="6" t="s">
        <v>167</v>
      </c>
      <c r="B28" s="7"/>
      <c r="C28" s="16"/>
      <c r="D28" s="12"/>
      <c r="E28" s="11"/>
    </row>
    <row r="29" ht="22.5" customHeight="1">
      <c r="A29" s="6" t="s">
        <v>168</v>
      </c>
      <c r="B29" s="7"/>
      <c r="C29" s="16"/>
      <c r="D29" s="12"/>
      <c r="E29" s="11"/>
    </row>
    <row r="30" ht="22.5" customHeight="1">
      <c r="A30" s="9" t="s">
        <v>54</v>
      </c>
      <c r="B30" s="10" t="s">
        <v>169</v>
      </c>
      <c r="C30" s="11">
        <v>75000.0</v>
      </c>
      <c r="D30" s="12">
        <f>D2</f>
        <v>1</v>
      </c>
      <c r="E30" s="11">
        <f t="shared" ref="E30:E38" si="3">C30*D30</f>
        <v>75000</v>
      </c>
    </row>
    <row r="31" ht="22.5" customHeight="1">
      <c r="A31" s="9" t="s">
        <v>170</v>
      </c>
      <c r="B31" s="10" t="s">
        <v>171</v>
      </c>
      <c r="C31" s="11">
        <v>55000.0</v>
      </c>
      <c r="D31" s="12"/>
      <c r="E31" s="11">
        <f t="shared" si="3"/>
        <v>0</v>
      </c>
    </row>
    <row r="32" ht="22.5" customHeight="1">
      <c r="A32" s="9" t="s">
        <v>58</v>
      </c>
      <c r="B32" s="10" t="s">
        <v>172</v>
      </c>
      <c r="C32" s="11">
        <v>25000.0</v>
      </c>
      <c r="D32" s="12">
        <f>D2</f>
        <v>1</v>
      </c>
      <c r="E32" s="11">
        <f t="shared" si="3"/>
        <v>25000</v>
      </c>
    </row>
    <row r="33" ht="22.5" customHeight="1">
      <c r="A33" s="9" t="s">
        <v>60</v>
      </c>
      <c r="B33" s="10" t="s">
        <v>173</v>
      </c>
      <c r="C33" s="11">
        <v>250000.0</v>
      </c>
      <c r="D33" s="12">
        <v>1.0</v>
      </c>
      <c r="E33" s="11">
        <f t="shared" si="3"/>
        <v>250000</v>
      </c>
    </row>
    <row r="34" ht="22.5" customHeight="1">
      <c r="A34" s="9" t="s">
        <v>62</v>
      </c>
      <c r="B34" s="10" t="s">
        <v>174</v>
      </c>
      <c r="C34" s="11">
        <v>65000.0</v>
      </c>
      <c r="D34" s="12"/>
      <c r="E34" s="11">
        <f t="shared" si="3"/>
        <v>0</v>
      </c>
    </row>
    <row r="35" ht="22.5" customHeight="1">
      <c r="A35" s="9" t="s">
        <v>64</v>
      </c>
      <c r="B35" s="10" t="s">
        <v>175</v>
      </c>
      <c r="C35" s="11">
        <v>65000.0</v>
      </c>
      <c r="D35" s="12">
        <f>D2</f>
        <v>1</v>
      </c>
      <c r="E35" s="11">
        <f t="shared" si="3"/>
        <v>65000</v>
      </c>
    </row>
    <row r="36" ht="22.5" customHeight="1">
      <c r="A36" s="9" t="s">
        <v>66</v>
      </c>
      <c r="B36" s="10" t="s">
        <v>176</v>
      </c>
      <c r="C36" s="11">
        <v>60000.0</v>
      </c>
      <c r="D36" s="12"/>
      <c r="E36" s="11">
        <f t="shared" si="3"/>
        <v>0</v>
      </c>
    </row>
    <row r="37" ht="22.5" customHeight="1">
      <c r="A37" s="9" t="s">
        <v>68</v>
      </c>
      <c r="B37" s="10" t="s">
        <v>177</v>
      </c>
      <c r="C37" s="11">
        <v>60000.0</v>
      </c>
      <c r="D37" s="12"/>
      <c r="E37" s="11">
        <f t="shared" si="3"/>
        <v>0</v>
      </c>
    </row>
    <row r="38" ht="22.5" customHeight="1">
      <c r="A38" s="9" t="s">
        <v>178</v>
      </c>
      <c r="B38" s="10" t="s">
        <v>179</v>
      </c>
      <c r="C38" s="11">
        <v>35000.0</v>
      </c>
      <c r="D38" s="12"/>
      <c r="E38" s="11">
        <f t="shared" si="3"/>
        <v>0</v>
      </c>
    </row>
    <row r="39" ht="22.5" customHeight="1">
      <c r="A39" s="6" t="s">
        <v>180</v>
      </c>
      <c r="B39" s="7"/>
      <c r="C39" s="17"/>
      <c r="D39" s="12"/>
      <c r="E39" s="11"/>
    </row>
    <row r="40" ht="22.5" customHeight="1">
      <c r="A40" s="9" t="s">
        <v>73</v>
      </c>
      <c r="B40" s="10" t="s">
        <v>181</v>
      </c>
      <c r="C40" s="11">
        <v>160000.0</v>
      </c>
      <c r="D40" s="12">
        <f>D2</f>
        <v>1</v>
      </c>
      <c r="E40" s="11">
        <f t="shared" ref="E40:E45" si="4">C40*D40</f>
        <v>160000</v>
      </c>
    </row>
    <row r="41" ht="22.5" customHeight="1">
      <c r="A41" s="9" t="s">
        <v>182</v>
      </c>
      <c r="B41" s="10" t="s">
        <v>183</v>
      </c>
      <c r="C41" s="11">
        <v>500000.0</v>
      </c>
      <c r="D41" s="12">
        <f>ROUNDUP(D2/4,0)</f>
        <v>1</v>
      </c>
      <c r="E41" s="11">
        <f t="shared" si="4"/>
        <v>500000</v>
      </c>
    </row>
    <row r="42" ht="22.5" customHeight="1">
      <c r="A42" s="6" t="s">
        <v>184</v>
      </c>
      <c r="B42" s="7"/>
      <c r="C42" s="17"/>
      <c r="D42" s="12"/>
      <c r="E42" s="11">
        <f t="shared" si="4"/>
        <v>0</v>
      </c>
    </row>
    <row r="43" ht="22.5" customHeight="1">
      <c r="A43" s="9" t="s">
        <v>185</v>
      </c>
      <c r="B43" s="10" t="s">
        <v>186</v>
      </c>
      <c r="C43" s="11">
        <v>150000.0</v>
      </c>
      <c r="D43" s="12">
        <f>$D$2</f>
        <v>1</v>
      </c>
      <c r="E43" s="11">
        <f t="shared" si="4"/>
        <v>150000</v>
      </c>
    </row>
    <row r="44" ht="22.5" customHeight="1">
      <c r="A44" s="9" t="s">
        <v>80</v>
      </c>
      <c r="B44" s="10" t="s">
        <v>187</v>
      </c>
      <c r="C44" s="11">
        <v>200000.0</v>
      </c>
      <c r="D44" s="12">
        <v>1.0</v>
      </c>
      <c r="E44" s="11">
        <f t="shared" si="4"/>
        <v>200000</v>
      </c>
    </row>
    <row r="45" ht="22.5" customHeight="1">
      <c r="A45" s="9" t="s">
        <v>188</v>
      </c>
      <c r="B45" s="10" t="s">
        <v>189</v>
      </c>
      <c r="C45" s="11">
        <v>50000.0</v>
      </c>
      <c r="D45" s="12">
        <f>$D$2</f>
        <v>1</v>
      </c>
      <c r="E45" s="11">
        <f t="shared" si="4"/>
        <v>50000</v>
      </c>
    </row>
    <row r="46" ht="22.5" customHeight="1">
      <c r="A46" s="6" t="s">
        <v>84</v>
      </c>
      <c r="B46" s="7"/>
      <c r="C46" s="16"/>
      <c r="D46" s="12"/>
      <c r="E46" s="11"/>
    </row>
    <row r="47" ht="22.5" customHeight="1">
      <c r="A47" s="6" t="s">
        <v>190</v>
      </c>
      <c r="B47" s="7"/>
      <c r="C47" s="16"/>
      <c r="D47" s="12"/>
      <c r="E47" s="11"/>
    </row>
    <row r="48" ht="22.5" customHeight="1">
      <c r="A48" s="9" t="s">
        <v>191</v>
      </c>
      <c r="B48" s="10" t="s">
        <v>192</v>
      </c>
      <c r="C48" s="11">
        <v>450000.0</v>
      </c>
      <c r="D48" s="12">
        <f>IF($D$2=1,4, IF($D$2=2,4,0))</f>
        <v>4</v>
      </c>
      <c r="E48" s="11">
        <f t="shared" ref="E48:E52" si="5">C48*D48</f>
        <v>1800000</v>
      </c>
    </row>
    <row r="49" ht="22.5" customHeight="1">
      <c r="A49" s="9" t="s">
        <v>193</v>
      </c>
      <c r="B49" s="10" t="s">
        <v>194</v>
      </c>
      <c r="C49" s="11">
        <v>550000.0</v>
      </c>
      <c r="D49" s="12">
        <f>IF($D$2=3,4, 0)</f>
        <v>0</v>
      </c>
      <c r="E49" s="11">
        <f t="shared" si="5"/>
        <v>0</v>
      </c>
    </row>
    <row r="50" ht="22.5" customHeight="1">
      <c r="A50" s="9" t="s">
        <v>90</v>
      </c>
      <c r="B50" s="10" t="s">
        <v>195</v>
      </c>
      <c r="C50" s="11">
        <v>1100000.0</v>
      </c>
      <c r="D50" s="12">
        <f>IF((($D$2&gt;=4)*($D$2&lt;=11))=1,4,0)</f>
        <v>0</v>
      </c>
      <c r="E50" s="11">
        <f t="shared" si="5"/>
        <v>0</v>
      </c>
    </row>
    <row r="51" ht="22.5" customHeight="1">
      <c r="A51" s="9" t="s">
        <v>196</v>
      </c>
      <c r="B51" s="10" t="s">
        <v>197</v>
      </c>
      <c r="C51" s="11">
        <v>1300000.0</v>
      </c>
      <c r="D51" s="12"/>
      <c r="E51" s="11">
        <f t="shared" si="5"/>
        <v>0</v>
      </c>
    </row>
    <row r="52" ht="22.5" customHeight="1">
      <c r="A52" s="9" t="s">
        <v>94</v>
      </c>
      <c r="B52" s="10" t="s">
        <v>198</v>
      </c>
      <c r="C52" s="11">
        <v>650000.0</v>
      </c>
      <c r="D52" s="12">
        <f>IF((($D$2&gt;=10)*($D$2&lt;=11))=1,1,0)</f>
        <v>0</v>
      </c>
      <c r="E52" s="11">
        <f t="shared" si="5"/>
        <v>0</v>
      </c>
    </row>
    <row r="53" ht="22.5" customHeight="1">
      <c r="A53" s="6" t="s">
        <v>199</v>
      </c>
      <c r="B53" s="7"/>
      <c r="C53" s="16"/>
      <c r="D53" s="12"/>
      <c r="E53" s="11"/>
    </row>
    <row r="54" ht="22.5" customHeight="1">
      <c r="A54" s="9" t="s">
        <v>200</v>
      </c>
      <c r="B54" s="10" t="s">
        <v>201</v>
      </c>
      <c r="C54" s="11">
        <v>200000.0</v>
      </c>
      <c r="D54" s="12">
        <f>IF((($D$2&gt;=10)*($D$2&lt;=11))=1,2,1)</f>
        <v>1</v>
      </c>
      <c r="E54" s="11">
        <f t="shared" ref="E54:E59" si="6">C54*D54</f>
        <v>200000</v>
      </c>
    </row>
    <row r="55" ht="22.5" customHeight="1">
      <c r="A55" s="9" t="s">
        <v>99</v>
      </c>
      <c r="B55" s="10" t="s">
        <v>202</v>
      </c>
      <c r="C55" s="11">
        <v>300000.0</v>
      </c>
      <c r="D55" s="12"/>
      <c r="E55" s="11">
        <f t="shared" si="6"/>
        <v>0</v>
      </c>
    </row>
    <row r="56" ht="22.5" customHeight="1">
      <c r="A56" s="6" t="s">
        <v>203</v>
      </c>
      <c r="B56" s="7"/>
      <c r="C56" s="16"/>
      <c r="D56" s="12"/>
      <c r="E56" s="11">
        <f t="shared" si="6"/>
        <v>0</v>
      </c>
    </row>
    <row r="57" ht="22.5" customHeight="1">
      <c r="A57" s="9" t="s">
        <v>204</v>
      </c>
      <c r="B57" s="10" t="s">
        <v>205</v>
      </c>
      <c r="C57" s="11">
        <v>200000.0</v>
      </c>
      <c r="D57" s="12"/>
      <c r="E57" s="11">
        <f t="shared" si="6"/>
        <v>0</v>
      </c>
    </row>
    <row r="58" ht="22.5" customHeight="1">
      <c r="A58" s="18" t="s">
        <v>104</v>
      </c>
      <c r="B58" s="7"/>
      <c r="C58" s="16"/>
      <c r="D58" s="12"/>
      <c r="E58" s="11">
        <f t="shared" si="6"/>
        <v>0</v>
      </c>
    </row>
    <row r="59" ht="22.5" customHeight="1">
      <c r="A59" s="9" t="s">
        <v>105</v>
      </c>
      <c r="B59" s="10" t="s">
        <v>206</v>
      </c>
      <c r="C59" s="11">
        <v>650000.0</v>
      </c>
      <c r="D59" s="12"/>
      <c r="E59" s="11">
        <f t="shared" si="6"/>
        <v>0</v>
      </c>
    </row>
    <row r="60" ht="22.5" customHeight="1">
      <c r="A60" s="6" t="s">
        <v>107</v>
      </c>
      <c r="B60" s="7"/>
      <c r="C60" s="16"/>
      <c r="D60" s="12"/>
      <c r="E60" s="11"/>
    </row>
    <row r="61" ht="22.5" customHeight="1">
      <c r="A61" s="6" t="s">
        <v>207</v>
      </c>
      <c r="B61" s="7"/>
      <c r="C61" s="16"/>
      <c r="D61" s="12"/>
      <c r="E61" s="11"/>
    </row>
    <row r="62" ht="22.5" customHeight="1">
      <c r="A62" s="9" t="s">
        <v>208</v>
      </c>
      <c r="B62" s="10" t="s">
        <v>209</v>
      </c>
      <c r="C62" s="11">
        <v>250000.0</v>
      </c>
      <c r="D62" s="12">
        <f>IF((($D$2&gt;=1)*($D$2&lt;=3))=1,4,0)</f>
        <v>4</v>
      </c>
      <c r="E62" s="11">
        <f t="shared" ref="E62:E74" si="7">C62*D62</f>
        <v>1000000</v>
      </c>
    </row>
    <row r="63" ht="22.5" customHeight="1">
      <c r="A63" s="9" t="s">
        <v>111</v>
      </c>
      <c r="B63" s="10" t="s">
        <v>210</v>
      </c>
      <c r="C63" s="11">
        <v>250000.0</v>
      </c>
      <c r="D63" s="12">
        <f>IF((($D$2&gt;=4)*($D$2&lt;=11))=1,4,0)</f>
        <v>0</v>
      </c>
      <c r="E63" s="11">
        <f t="shared" si="7"/>
        <v>0</v>
      </c>
    </row>
    <row r="64" ht="22.5" customHeight="1">
      <c r="A64" s="9" t="s">
        <v>113</v>
      </c>
      <c r="B64" s="10" t="s">
        <v>211</v>
      </c>
      <c r="C64" s="11">
        <v>200000.0</v>
      </c>
      <c r="D64" s="12"/>
      <c r="E64" s="11">
        <f t="shared" si="7"/>
        <v>0</v>
      </c>
    </row>
    <row r="65" ht="22.5" customHeight="1">
      <c r="A65" s="6" t="s">
        <v>115</v>
      </c>
      <c r="B65" s="7"/>
      <c r="C65" s="16"/>
      <c r="D65" s="12"/>
      <c r="E65" s="11">
        <f t="shared" si="7"/>
        <v>0</v>
      </c>
    </row>
    <row r="66" ht="22.5" customHeight="1">
      <c r="A66" s="6" t="s">
        <v>212</v>
      </c>
      <c r="B66" s="7"/>
      <c r="C66" s="16"/>
      <c r="D66" s="12"/>
      <c r="E66" s="11">
        <f t="shared" si="7"/>
        <v>0</v>
      </c>
    </row>
    <row r="67" ht="22.5" customHeight="1">
      <c r="A67" s="9" t="s">
        <v>213</v>
      </c>
      <c r="B67" s="10" t="s">
        <v>118</v>
      </c>
      <c r="C67" s="11">
        <v>50000.0</v>
      </c>
      <c r="D67" s="12">
        <f>ROUNDUP(D2*C2*4/24,0)</f>
        <v>1</v>
      </c>
      <c r="E67" s="11">
        <f t="shared" si="7"/>
        <v>50000</v>
      </c>
    </row>
    <row r="68" ht="22.5" customHeight="1">
      <c r="A68" s="9" t="s">
        <v>119</v>
      </c>
      <c r="B68" s="10" t="s">
        <v>120</v>
      </c>
      <c r="C68" s="11">
        <v>100000.0</v>
      </c>
      <c r="D68" s="12">
        <v>1.0</v>
      </c>
      <c r="E68" s="11">
        <f t="shared" si="7"/>
        <v>100000</v>
      </c>
    </row>
    <row r="69" ht="22.5" customHeight="1">
      <c r="A69" s="9" t="s">
        <v>214</v>
      </c>
      <c r="B69" s="10" t="s">
        <v>215</v>
      </c>
      <c r="C69" s="11">
        <v>60000.0</v>
      </c>
      <c r="D69" s="12">
        <f>D2</f>
        <v>1</v>
      </c>
      <c r="E69" s="11">
        <f t="shared" si="7"/>
        <v>60000</v>
      </c>
    </row>
    <row r="70" ht="22.5" customHeight="1">
      <c r="A70" s="6" t="s">
        <v>216</v>
      </c>
      <c r="B70" s="7"/>
      <c r="C70" s="19"/>
      <c r="D70" s="12"/>
      <c r="E70" s="11">
        <f t="shared" si="7"/>
        <v>0</v>
      </c>
    </row>
    <row r="71" ht="22.5" customHeight="1">
      <c r="A71" s="9" t="s">
        <v>217</v>
      </c>
      <c r="B71" s="10" t="s">
        <v>218</v>
      </c>
      <c r="C71" s="12">
        <v>2000000.0</v>
      </c>
      <c r="D71" s="12"/>
      <c r="E71" s="11">
        <f t="shared" si="7"/>
        <v>0</v>
      </c>
    </row>
    <row r="72" ht="22.5" customHeight="1">
      <c r="A72" s="6" t="s">
        <v>219</v>
      </c>
      <c r="B72" s="7"/>
      <c r="C72" s="19"/>
      <c r="D72" s="12"/>
      <c r="E72" s="11">
        <f t="shared" si="7"/>
        <v>0</v>
      </c>
    </row>
    <row r="73" ht="22.5" customHeight="1">
      <c r="A73" s="9" t="s">
        <v>220</v>
      </c>
      <c r="B73" s="10" t="s">
        <v>221</v>
      </c>
      <c r="C73" s="12">
        <v>16000.0</v>
      </c>
      <c r="D73" s="12">
        <f>D2</f>
        <v>1</v>
      </c>
      <c r="E73" s="11">
        <f t="shared" si="7"/>
        <v>16000</v>
      </c>
    </row>
    <row r="74" ht="22.5" customHeight="1">
      <c r="A74" s="9" t="s">
        <v>129</v>
      </c>
      <c r="B74" s="10" t="s">
        <v>222</v>
      </c>
      <c r="C74" s="12">
        <v>100000.0</v>
      </c>
      <c r="D74" s="12"/>
      <c r="E74" s="11">
        <f t="shared" si="7"/>
        <v>0</v>
      </c>
    </row>
    <row r="75" ht="30.0" customHeight="1">
      <c r="A75" s="20" t="s">
        <v>131</v>
      </c>
      <c r="B75" s="21"/>
      <c r="C75" s="5"/>
      <c r="D75" s="12"/>
      <c r="E75" s="22">
        <f>SUM(E7:E74)</f>
        <v>6256000</v>
      </c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</row>
    <row r="76" ht="36.0" customHeight="1">
      <c r="A76" s="20" t="s">
        <v>132</v>
      </c>
      <c r="B76" s="8"/>
      <c r="C76" s="8"/>
      <c r="D76" s="8"/>
      <c r="E76" s="22">
        <f>E75/D2</f>
        <v>6256000</v>
      </c>
    </row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fitToHeight="0"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93.86"/>
    <col customWidth="1" min="2" max="2" width="20.57"/>
    <col customWidth="1" min="3" max="3" width="29.14"/>
    <col customWidth="1" min="4" max="4" width="21.57"/>
    <col customWidth="1" min="5" max="5" width="25.43"/>
    <col customWidth="1" min="6" max="7" width="9.0"/>
    <col customWidth="1" min="8" max="8" width="7.0"/>
    <col customWidth="1" min="9" max="10" width="20.86"/>
    <col customWidth="1" min="11" max="11" width="18.57"/>
    <col customWidth="1" min="12" max="12" width="20.43"/>
    <col customWidth="1" min="13" max="13" width="18.57"/>
    <col customWidth="1" min="14" max="14" width="27.43"/>
    <col customWidth="1" min="15" max="26" width="9.0"/>
  </cols>
  <sheetData>
    <row r="1" ht="25.5" customHeight="1">
      <c r="A1" s="1" t="s">
        <v>0</v>
      </c>
      <c r="B1" s="1" t="s">
        <v>1</v>
      </c>
      <c r="C1" s="1" t="s">
        <v>2</v>
      </c>
      <c r="D1" s="1" t="s">
        <v>3</v>
      </c>
    </row>
    <row r="2" ht="27.75" customHeight="1">
      <c r="A2" s="2" t="s">
        <v>4</v>
      </c>
      <c r="B2" s="2">
        <v>34.0</v>
      </c>
      <c r="C2" s="2">
        <v>4.0</v>
      </c>
      <c r="D2" s="3">
        <v>2.0</v>
      </c>
    </row>
    <row r="3" ht="27.75" customHeight="1">
      <c r="A3" s="4"/>
      <c r="B3" s="4"/>
      <c r="C3" s="4"/>
    </row>
    <row r="4" ht="35.25" customHeight="1">
      <c r="A4" s="5" t="s">
        <v>223</v>
      </c>
      <c r="B4" s="5" t="s">
        <v>224</v>
      </c>
      <c r="C4" s="5" t="s">
        <v>225</v>
      </c>
      <c r="D4" s="5" t="s">
        <v>8</v>
      </c>
      <c r="E4" s="5" t="s">
        <v>9</v>
      </c>
    </row>
    <row r="5" ht="22.5" customHeight="1">
      <c r="A5" s="6" t="s">
        <v>226</v>
      </c>
      <c r="B5" s="7"/>
      <c r="C5" s="7"/>
      <c r="D5" s="8"/>
      <c r="E5" s="8"/>
    </row>
    <row r="6" ht="22.5" customHeight="1">
      <c r="A6" s="6" t="s">
        <v>227</v>
      </c>
      <c r="B6" s="7"/>
      <c r="C6" s="7"/>
      <c r="D6" s="8"/>
      <c r="E6" s="8"/>
    </row>
    <row r="7" ht="22.5" customHeight="1">
      <c r="A7" s="9" t="s">
        <v>12</v>
      </c>
      <c r="B7" s="10" t="s">
        <v>228</v>
      </c>
      <c r="C7" s="11">
        <v>337500.0</v>
      </c>
      <c r="D7" s="12">
        <f>ROUNDUP($D$2/2,0)</f>
        <v>1</v>
      </c>
      <c r="E7" s="11">
        <f t="shared" ref="E7:E11" si="1">C7*D7</f>
        <v>337500</v>
      </c>
    </row>
    <row r="8" ht="22.5" customHeight="1">
      <c r="A8" s="9" t="s">
        <v>14</v>
      </c>
      <c r="B8" s="10" t="s">
        <v>229</v>
      </c>
      <c r="C8" s="11">
        <v>375000.0</v>
      </c>
      <c r="D8" s="12"/>
      <c r="E8" s="11">
        <f t="shared" si="1"/>
        <v>0</v>
      </c>
      <c r="H8" s="13"/>
      <c r="I8" s="14"/>
      <c r="J8" s="14"/>
      <c r="K8" s="15"/>
      <c r="L8" s="15"/>
      <c r="M8" s="15"/>
      <c r="N8" s="15"/>
    </row>
    <row r="9" ht="22.5" customHeight="1">
      <c r="A9" s="9" t="s">
        <v>16</v>
      </c>
      <c r="B9" s="10" t="s">
        <v>230</v>
      </c>
      <c r="C9" s="11">
        <v>412500.0</v>
      </c>
      <c r="D9" s="12"/>
      <c r="E9" s="11">
        <f t="shared" si="1"/>
        <v>0</v>
      </c>
      <c r="H9" s="13"/>
      <c r="I9" s="14"/>
      <c r="J9" s="14"/>
      <c r="K9" s="15"/>
      <c r="L9" s="15"/>
      <c r="M9" s="15"/>
      <c r="N9" s="15"/>
    </row>
    <row r="10" ht="22.5" customHeight="1">
      <c r="A10" s="9" t="s">
        <v>18</v>
      </c>
      <c r="B10" s="10" t="s">
        <v>231</v>
      </c>
      <c r="C10" s="11">
        <v>487500.0</v>
      </c>
      <c r="D10" s="12"/>
      <c r="E10" s="11">
        <f t="shared" si="1"/>
        <v>0</v>
      </c>
      <c r="H10" s="13"/>
      <c r="I10" s="14"/>
      <c r="J10" s="14"/>
      <c r="K10" s="15"/>
      <c r="L10" s="15"/>
      <c r="M10" s="15"/>
      <c r="N10" s="15"/>
    </row>
    <row r="11" ht="22.5" customHeight="1">
      <c r="A11" s="9" t="s">
        <v>20</v>
      </c>
      <c r="B11" s="10" t="s">
        <v>232</v>
      </c>
      <c r="C11" s="11">
        <v>562500.0</v>
      </c>
      <c r="D11" s="12"/>
      <c r="E11" s="11">
        <f t="shared" si="1"/>
        <v>0</v>
      </c>
      <c r="H11" s="13"/>
      <c r="I11" s="14"/>
      <c r="J11" s="14"/>
      <c r="K11" s="15"/>
      <c r="L11" s="15"/>
      <c r="M11" s="15"/>
      <c r="N11" s="15"/>
    </row>
    <row r="12" ht="22.5" customHeight="1">
      <c r="A12" s="6" t="s">
        <v>233</v>
      </c>
      <c r="B12" s="7"/>
      <c r="C12" s="16"/>
      <c r="D12" s="12"/>
      <c r="E12" s="11"/>
    </row>
    <row r="13" ht="22.5" customHeight="1">
      <c r="A13" s="9" t="s">
        <v>23</v>
      </c>
      <c r="B13" s="10" t="s">
        <v>234</v>
      </c>
      <c r="C13" s="11">
        <v>750000.0</v>
      </c>
      <c r="D13" s="12">
        <f>ROUNDUP($D$2/2,0)</f>
        <v>1</v>
      </c>
      <c r="E13" s="11">
        <f t="shared" ref="E13:E27" si="2">C13*D13</f>
        <v>750000</v>
      </c>
    </row>
    <row r="14" ht="22.5" customHeight="1">
      <c r="A14" s="9" t="s">
        <v>25</v>
      </c>
      <c r="B14" s="10" t="s">
        <v>235</v>
      </c>
      <c r="C14" s="11">
        <v>950000.0</v>
      </c>
      <c r="D14" s="12"/>
      <c r="E14" s="11">
        <f t="shared" si="2"/>
        <v>0</v>
      </c>
    </row>
    <row r="15" ht="22.5" customHeight="1">
      <c r="A15" s="9" t="s">
        <v>27</v>
      </c>
      <c r="B15" s="10" t="s">
        <v>236</v>
      </c>
      <c r="C15" s="11">
        <v>300000.0</v>
      </c>
      <c r="D15" s="12"/>
      <c r="E15" s="11">
        <f t="shared" si="2"/>
        <v>0</v>
      </c>
    </row>
    <row r="16" ht="22.5" customHeight="1">
      <c r="A16" s="6" t="s">
        <v>237</v>
      </c>
      <c r="B16" s="7"/>
      <c r="C16" s="16"/>
      <c r="D16" s="12"/>
      <c r="E16" s="11">
        <f t="shared" si="2"/>
        <v>0</v>
      </c>
    </row>
    <row r="17" ht="22.5" customHeight="1">
      <c r="A17" s="9" t="s">
        <v>30</v>
      </c>
      <c r="B17" s="10" t="s">
        <v>238</v>
      </c>
      <c r="C17" s="11">
        <v>467500.0</v>
      </c>
      <c r="D17" s="12">
        <f>ROUNDUP($D$2/2,0)</f>
        <v>1</v>
      </c>
      <c r="E17" s="11">
        <f t="shared" si="2"/>
        <v>467500</v>
      </c>
    </row>
    <row r="18" ht="22.5" customHeight="1">
      <c r="A18" s="9" t="s">
        <v>32</v>
      </c>
      <c r="B18" s="10" t="s">
        <v>239</v>
      </c>
      <c r="C18" s="11">
        <v>200000.0</v>
      </c>
      <c r="D18" s="12"/>
      <c r="E18" s="11">
        <f t="shared" si="2"/>
        <v>0</v>
      </c>
    </row>
    <row r="19" ht="22.5" customHeight="1">
      <c r="A19" s="9" t="s">
        <v>34</v>
      </c>
      <c r="B19" s="10" t="s">
        <v>240</v>
      </c>
      <c r="C19" s="11">
        <v>260000.0</v>
      </c>
      <c r="D19" s="8"/>
      <c r="E19" s="11">
        <f t="shared" si="2"/>
        <v>0</v>
      </c>
    </row>
    <row r="20" ht="22.5" customHeight="1">
      <c r="A20" s="9" t="s">
        <v>36</v>
      </c>
      <c r="B20" s="10" t="s">
        <v>241</v>
      </c>
      <c r="C20" s="11">
        <v>300000.0</v>
      </c>
      <c r="D20" s="12"/>
      <c r="E20" s="11">
        <f t="shared" si="2"/>
        <v>0</v>
      </c>
    </row>
    <row r="21" ht="22.5" customHeight="1">
      <c r="A21" s="9" t="s">
        <v>242</v>
      </c>
      <c r="B21" s="10" t="s">
        <v>243</v>
      </c>
      <c r="C21" s="11">
        <v>316000.0</v>
      </c>
      <c r="D21" s="12"/>
      <c r="E21" s="11">
        <f t="shared" si="2"/>
        <v>0</v>
      </c>
    </row>
    <row r="22" ht="22.5" customHeight="1">
      <c r="A22" s="9" t="s">
        <v>244</v>
      </c>
      <c r="B22" s="10" t="s">
        <v>245</v>
      </c>
      <c r="C22" s="11">
        <v>380000.0</v>
      </c>
      <c r="D22" s="12"/>
      <c r="E22" s="11">
        <f t="shared" si="2"/>
        <v>0</v>
      </c>
    </row>
    <row r="23" ht="22.5" customHeight="1">
      <c r="A23" s="9" t="s">
        <v>246</v>
      </c>
      <c r="B23" s="10" t="s">
        <v>247</v>
      </c>
      <c r="C23" s="11">
        <v>440000.0</v>
      </c>
      <c r="D23" s="12"/>
      <c r="E23" s="11">
        <f t="shared" si="2"/>
        <v>0</v>
      </c>
    </row>
    <row r="24" ht="22.5" customHeight="1">
      <c r="A24" s="9" t="s">
        <v>44</v>
      </c>
      <c r="B24" s="10" t="s">
        <v>248</v>
      </c>
      <c r="C24" s="11">
        <v>572000.0</v>
      </c>
      <c r="D24" s="12"/>
      <c r="E24" s="11">
        <f t="shared" si="2"/>
        <v>0</v>
      </c>
    </row>
    <row r="25" ht="22.5" customHeight="1">
      <c r="A25" s="9" t="s">
        <v>46</v>
      </c>
      <c r="B25" s="10" t="s">
        <v>249</v>
      </c>
      <c r="C25" s="11">
        <v>617000.0</v>
      </c>
      <c r="D25" s="12"/>
      <c r="E25" s="11">
        <f t="shared" si="2"/>
        <v>0</v>
      </c>
    </row>
    <row r="26" ht="22.5" customHeight="1">
      <c r="A26" s="9" t="s">
        <v>48</v>
      </c>
      <c r="B26" s="10" t="s">
        <v>250</v>
      </c>
      <c r="C26" s="11">
        <v>472000.0</v>
      </c>
      <c r="D26" s="12"/>
      <c r="E26" s="11">
        <f t="shared" si="2"/>
        <v>0</v>
      </c>
    </row>
    <row r="27" ht="22.5" customHeight="1">
      <c r="A27" s="9" t="s">
        <v>50</v>
      </c>
      <c r="B27" s="10" t="s">
        <v>251</v>
      </c>
      <c r="C27" s="11">
        <v>517000.0</v>
      </c>
      <c r="D27" s="12"/>
      <c r="E27" s="11">
        <f t="shared" si="2"/>
        <v>0</v>
      </c>
    </row>
    <row r="28" ht="22.5" customHeight="1">
      <c r="A28" s="6" t="s">
        <v>252</v>
      </c>
      <c r="B28" s="7"/>
      <c r="C28" s="16"/>
      <c r="D28" s="12"/>
      <c r="E28" s="11"/>
    </row>
    <row r="29" ht="22.5" customHeight="1">
      <c r="A29" s="6" t="s">
        <v>253</v>
      </c>
      <c r="B29" s="7"/>
      <c r="C29" s="16"/>
      <c r="D29" s="12"/>
      <c r="E29" s="11"/>
    </row>
    <row r="30" ht="22.5" customHeight="1">
      <c r="A30" s="9" t="s">
        <v>54</v>
      </c>
      <c r="B30" s="10" t="s">
        <v>254</v>
      </c>
      <c r="C30" s="11">
        <v>75000.0</v>
      </c>
      <c r="D30" s="12">
        <f>D2</f>
        <v>2</v>
      </c>
      <c r="E30" s="11">
        <f t="shared" ref="E30:E38" si="3">C30*D30</f>
        <v>150000</v>
      </c>
    </row>
    <row r="31" ht="22.5" customHeight="1">
      <c r="A31" s="9" t="s">
        <v>255</v>
      </c>
      <c r="B31" s="10" t="s">
        <v>256</v>
      </c>
      <c r="C31" s="11">
        <v>55000.0</v>
      </c>
      <c r="D31" s="12"/>
      <c r="E31" s="11">
        <f t="shared" si="3"/>
        <v>0</v>
      </c>
    </row>
    <row r="32" ht="22.5" customHeight="1">
      <c r="A32" s="9" t="s">
        <v>58</v>
      </c>
      <c r="B32" s="10" t="s">
        <v>257</v>
      </c>
      <c r="C32" s="11">
        <v>25000.0</v>
      </c>
      <c r="D32" s="12">
        <f>D2</f>
        <v>2</v>
      </c>
      <c r="E32" s="11">
        <f t="shared" si="3"/>
        <v>50000</v>
      </c>
    </row>
    <row r="33" ht="22.5" customHeight="1">
      <c r="A33" s="9" t="s">
        <v>60</v>
      </c>
      <c r="B33" s="10" t="s">
        <v>258</v>
      </c>
      <c r="C33" s="11">
        <v>250000.0</v>
      </c>
      <c r="D33" s="12">
        <v>1.0</v>
      </c>
      <c r="E33" s="11">
        <f t="shared" si="3"/>
        <v>250000</v>
      </c>
    </row>
    <row r="34" ht="22.5" customHeight="1">
      <c r="A34" s="9" t="s">
        <v>62</v>
      </c>
      <c r="B34" s="10" t="s">
        <v>259</v>
      </c>
      <c r="C34" s="11">
        <v>65000.0</v>
      </c>
      <c r="D34" s="12"/>
      <c r="E34" s="11">
        <f t="shared" si="3"/>
        <v>0</v>
      </c>
    </row>
    <row r="35" ht="22.5" customHeight="1">
      <c r="A35" s="9" t="s">
        <v>64</v>
      </c>
      <c r="B35" s="10" t="s">
        <v>260</v>
      </c>
      <c r="C35" s="11">
        <v>65000.0</v>
      </c>
      <c r="D35" s="12">
        <f>D2</f>
        <v>2</v>
      </c>
      <c r="E35" s="11">
        <f t="shared" si="3"/>
        <v>130000</v>
      </c>
    </row>
    <row r="36" ht="22.5" customHeight="1">
      <c r="A36" s="9" t="s">
        <v>66</v>
      </c>
      <c r="B36" s="10" t="s">
        <v>261</v>
      </c>
      <c r="C36" s="11">
        <v>60000.0</v>
      </c>
      <c r="D36" s="12"/>
      <c r="E36" s="11">
        <f t="shared" si="3"/>
        <v>0</v>
      </c>
    </row>
    <row r="37" ht="22.5" customHeight="1">
      <c r="A37" s="9" t="s">
        <v>68</v>
      </c>
      <c r="B37" s="10" t="s">
        <v>262</v>
      </c>
      <c r="C37" s="11">
        <v>60000.0</v>
      </c>
      <c r="D37" s="12"/>
      <c r="E37" s="11">
        <f t="shared" si="3"/>
        <v>0</v>
      </c>
    </row>
    <row r="38" ht="22.5" customHeight="1">
      <c r="A38" s="9" t="s">
        <v>263</v>
      </c>
      <c r="B38" s="10" t="s">
        <v>264</v>
      </c>
      <c r="C38" s="11">
        <v>35000.0</v>
      </c>
      <c r="D38" s="12"/>
      <c r="E38" s="11">
        <f t="shared" si="3"/>
        <v>0</v>
      </c>
    </row>
    <row r="39" ht="22.5" customHeight="1">
      <c r="A39" s="6" t="s">
        <v>265</v>
      </c>
      <c r="B39" s="7"/>
      <c r="C39" s="17"/>
      <c r="D39" s="12"/>
      <c r="E39" s="11"/>
    </row>
    <row r="40" ht="22.5" customHeight="1">
      <c r="A40" s="9" t="s">
        <v>73</v>
      </c>
      <c r="B40" s="10" t="s">
        <v>266</v>
      </c>
      <c r="C40" s="11">
        <v>160000.0</v>
      </c>
      <c r="D40" s="12">
        <f>D2</f>
        <v>2</v>
      </c>
      <c r="E40" s="11">
        <f t="shared" ref="E40:E45" si="4">C40*D40</f>
        <v>320000</v>
      </c>
    </row>
    <row r="41" ht="22.5" customHeight="1">
      <c r="A41" s="9" t="s">
        <v>267</v>
      </c>
      <c r="B41" s="10" t="s">
        <v>268</v>
      </c>
      <c r="C41" s="11">
        <v>500000.0</v>
      </c>
      <c r="D41" s="12">
        <f>ROUNDUP(D2/4,0)</f>
        <v>1</v>
      </c>
      <c r="E41" s="11">
        <f t="shared" si="4"/>
        <v>500000</v>
      </c>
    </row>
    <row r="42" ht="22.5" customHeight="1">
      <c r="A42" s="6" t="s">
        <v>269</v>
      </c>
      <c r="B42" s="7"/>
      <c r="C42" s="17"/>
      <c r="D42" s="12"/>
      <c r="E42" s="11">
        <f t="shared" si="4"/>
        <v>0</v>
      </c>
    </row>
    <row r="43" ht="22.5" customHeight="1">
      <c r="A43" s="9" t="s">
        <v>270</v>
      </c>
      <c r="B43" s="10" t="s">
        <v>271</v>
      </c>
      <c r="C43" s="11">
        <v>150000.0</v>
      </c>
      <c r="D43" s="12">
        <f>$D$2</f>
        <v>2</v>
      </c>
      <c r="E43" s="11">
        <f t="shared" si="4"/>
        <v>300000</v>
      </c>
    </row>
    <row r="44" ht="22.5" customHeight="1">
      <c r="A44" s="9" t="s">
        <v>80</v>
      </c>
      <c r="B44" s="10" t="s">
        <v>272</v>
      </c>
      <c r="C44" s="11">
        <v>200000.0</v>
      </c>
      <c r="D44" s="12">
        <v>1.0</v>
      </c>
      <c r="E44" s="11">
        <f t="shared" si="4"/>
        <v>200000</v>
      </c>
    </row>
    <row r="45" ht="22.5" customHeight="1">
      <c r="A45" s="9" t="s">
        <v>273</v>
      </c>
      <c r="B45" s="10" t="s">
        <v>274</v>
      </c>
      <c r="C45" s="11">
        <v>50000.0</v>
      </c>
      <c r="D45" s="12">
        <f>$D$2</f>
        <v>2</v>
      </c>
      <c r="E45" s="11">
        <f t="shared" si="4"/>
        <v>100000</v>
      </c>
    </row>
    <row r="46" ht="22.5" customHeight="1">
      <c r="A46" s="6" t="s">
        <v>84</v>
      </c>
      <c r="B46" s="7"/>
      <c r="C46" s="16"/>
      <c r="D46" s="12"/>
      <c r="E46" s="11"/>
    </row>
    <row r="47" ht="22.5" customHeight="1">
      <c r="A47" s="6" t="s">
        <v>275</v>
      </c>
      <c r="B47" s="7"/>
      <c r="C47" s="16"/>
      <c r="D47" s="12"/>
      <c r="E47" s="11"/>
    </row>
    <row r="48" ht="22.5" customHeight="1">
      <c r="A48" s="9" t="s">
        <v>276</v>
      </c>
      <c r="B48" s="10" t="s">
        <v>277</v>
      </c>
      <c r="C48" s="11">
        <v>450000.0</v>
      </c>
      <c r="D48" s="12">
        <f>IF($D$2=1,4, IF($D$2=2,4,0))</f>
        <v>4</v>
      </c>
      <c r="E48" s="11">
        <f t="shared" ref="E48:E52" si="5">C48*D48</f>
        <v>1800000</v>
      </c>
    </row>
    <row r="49" ht="22.5" customHeight="1">
      <c r="A49" s="9" t="s">
        <v>278</v>
      </c>
      <c r="B49" s="10" t="s">
        <v>279</v>
      </c>
      <c r="C49" s="11">
        <v>550000.0</v>
      </c>
      <c r="D49" s="12">
        <f>IF($D$2=3,4, 0)</f>
        <v>0</v>
      </c>
      <c r="E49" s="11">
        <f t="shared" si="5"/>
        <v>0</v>
      </c>
    </row>
    <row r="50" ht="22.5" customHeight="1">
      <c r="A50" s="9" t="s">
        <v>90</v>
      </c>
      <c r="B50" s="10" t="s">
        <v>280</v>
      </c>
      <c r="C50" s="11">
        <v>1100000.0</v>
      </c>
      <c r="D50" s="12">
        <f>IF((($D$2&gt;=4)*($D$2&lt;=11))=1,4,0)</f>
        <v>0</v>
      </c>
      <c r="E50" s="11">
        <f t="shared" si="5"/>
        <v>0</v>
      </c>
    </row>
    <row r="51" ht="22.5" customHeight="1">
      <c r="A51" s="9" t="s">
        <v>281</v>
      </c>
      <c r="B51" s="10" t="s">
        <v>282</v>
      </c>
      <c r="C51" s="11">
        <v>1300000.0</v>
      </c>
      <c r="D51" s="12"/>
      <c r="E51" s="11">
        <f t="shared" si="5"/>
        <v>0</v>
      </c>
    </row>
    <row r="52" ht="22.5" customHeight="1">
      <c r="A52" s="9" t="s">
        <v>94</v>
      </c>
      <c r="B52" s="10" t="s">
        <v>283</v>
      </c>
      <c r="C52" s="11">
        <v>650000.0</v>
      </c>
      <c r="D52" s="12">
        <f>IF((($D$2&gt;=10)*($D$2&lt;=11))=1,1,0)</f>
        <v>0</v>
      </c>
      <c r="E52" s="11">
        <f t="shared" si="5"/>
        <v>0</v>
      </c>
    </row>
    <row r="53" ht="22.5" customHeight="1">
      <c r="A53" s="6" t="s">
        <v>284</v>
      </c>
      <c r="B53" s="7"/>
      <c r="C53" s="16"/>
      <c r="D53" s="12"/>
      <c r="E53" s="11"/>
    </row>
    <row r="54" ht="22.5" customHeight="1">
      <c r="A54" s="9" t="s">
        <v>285</v>
      </c>
      <c r="B54" s="10" t="s">
        <v>286</v>
      </c>
      <c r="C54" s="11">
        <v>200000.0</v>
      </c>
      <c r="D54" s="12">
        <f>IF((($D$2&gt;=10)*($D$2&lt;=11))=1,2,1)</f>
        <v>1</v>
      </c>
      <c r="E54" s="11">
        <f t="shared" ref="E54:E59" si="6">C54*D54</f>
        <v>200000</v>
      </c>
    </row>
    <row r="55" ht="22.5" customHeight="1">
      <c r="A55" s="9" t="s">
        <v>99</v>
      </c>
      <c r="B55" s="10" t="s">
        <v>287</v>
      </c>
      <c r="C55" s="11">
        <v>300000.0</v>
      </c>
      <c r="D55" s="12"/>
      <c r="E55" s="11">
        <f t="shared" si="6"/>
        <v>0</v>
      </c>
    </row>
    <row r="56" ht="22.5" customHeight="1">
      <c r="A56" s="6" t="s">
        <v>288</v>
      </c>
      <c r="B56" s="7"/>
      <c r="C56" s="16"/>
      <c r="D56" s="12"/>
      <c r="E56" s="11">
        <f t="shared" si="6"/>
        <v>0</v>
      </c>
    </row>
    <row r="57" ht="22.5" customHeight="1">
      <c r="A57" s="9" t="s">
        <v>289</v>
      </c>
      <c r="B57" s="10" t="s">
        <v>290</v>
      </c>
      <c r="C57" s="11">
        <v>200000.0</v>
      </c>
      <c r="D57" s="12"/>
      <c r="E57" s="11">
        <f t="shared" si="6"/>
        <v>0</v>
      </c>
    </row>
    <row r="58" ht="22.5" customHeight="1">
      <c r="A58" s="18" t="s">
        <v>104</v>
      </c>
      <c r="B58" s="7"/>
      <c r="C58" s="16"/>
      <c r="D58" s="12"/>
      <c r="E58" s="11">
        <f t="shared" si="6"/>
        <v>0</v>
      </c>
    </row>
    <row r="59" ht="22.5" customHeight="1">
      <c r="A59" s="9" t="s">
        <v>105</v>
      </c>
      <c r="B59" s="10" t="s">
        <v>291</v>
      </c>
      <c r="C59" s="11">
        <v>650000.0</v>
      </c>
      <c r="D59" s="12"/>
      <c r="E59" s="11">
        <f t="shared" si="6"/>
        <v>0</v>
      </c>
    </row>
    <row r="60" ht="22.5" customHeight="1">
      <c r="A60" s="6" t="s">
        <v>107</v>
      </c>
      <c r="B60" s="7"/>
      <c r="C60" s="16"/>
      <c r="D60" s="12"/>
      <c r="E60" s="11"/>
    </row>
    <row r="61" ht="22.5" customHeight="1">
      <c r="A61" s="6" t="s">
        <v>292</v>
      </c>
      <c r="B61" s="7"/>
      <c r="C61" s="16"/>
      <c r="D61" s="12"/>
      <c r="E61" s="11"/>
    </row>
    <row r="62" ht="22.5" customHeight="1">
      <c r="A62" s="9" t="s">
        <v>293</v>
      </c>
      <c r="B62" s="10" t="s">
        <v>294</v>
      </c>
      <c r="C62" s="11">
        <v>250000.0</v>
      </c>
      <c r="D62" s="12">
        <f>IF((($D$2&gt;=1)*($D$2&lt;=3))=1,4,0)</f>
        <v>4</v>
      </c>
      <c r="E62" s="11">
        <f t="shared" ref="E62:E74" si="7">C62*D62</f>
        <v>1000000</v>
      </c>
    </row>
    <row r="63" ht="22.5" customHeight="1">
      <c r="A63" s="9" t="s">
        <v>111</v>
      </c>
      <c r="B63" s="10" t="s">
        <v>295</v>
      </c>
      <c r="C63" s="11">
        <v>250000.0</v>
      </c>
      <c r="D63" s="12">
        <f>IF((($D$2&gt;=4)*($D$2&lt;=11))=1,4,0)</f>
        <v>0</v>
      </c>
      <c r="E63" s="11">
        <f t="shared" si="7"/>
        <v>0</v>
      </c>
    </row>
    <row r="64" ht="22.5" customHeight="1">
      <c r="A64" s="9" t="s">
        <v>113</v>
      </c>
      <c r="B64" s="10" t="s">
        <v>296</v>
      </c>
      <c r="C64" s="11">
        <v>200000.0</v>
      </c>
      <c r="D64" s="12"/>
      <c r="E64" s="11">
        <f t="shared" si="7"/>
        <v>0</v>
      </c>
    </row>
    <row r="65" ht="22.5" customHeight="1">
      <c r="A65" s="6" t="s">
        <v>115</v>
      </c>
      <c r="B65" s="7"/>
      <c r="C65" s="16"/>
      <c r="D65" s="12"/>
      <c r="E65" s="11">
        <f t="shared" si="7"/>
        <v>0</v>
      </c>
    </row>
    <row r="66" ht="22.5" customHeight="1">
      <c r="A66" s="6" t="s">
        <v>297</v>
      </c>
      <c r="B66" s="7"/>
      <c r="C66" s="16"/>
      <c r="D66" s="12"/>
      <c r="E66" s="11">
        <f t="shared" si="7"/>
        <v>0</v>
      </c>
    </row>
    <row r="67" ht="22.5" customHeight="1">
      <c r="A67" s="9" t="s">
        <v>298</v>
      </c>
      <c r="B67" s="10" t="s">
        <v>118</v>
      </c>
      <c r="C67" s="11">
        <v>50000.0</v>
      </c>
      <c r="D67" s="12">
        <f>ROUNDUP(D2*C2*4/24,0)</f>
        <v>2</v>
      </c>
      <c r="E67" s="11">
        <f t="shared" si="7"/>
        <v>100000</v>
      </c>
    </row>
    <row r="68" ht="22.5" customHeight="1">
      <c r="A68" s="9" t="s">
        <v>119</v>
      </c>
      <c r="B68" s="10" t="s">
        <v>120</v>
      </c>
      <c r="C68" s="11">
        <v>100000.0</v>
      </c>
      <c r="D68" s="12">
        <v>1.0</v>
      </c>
      <c r="E68" s="11">
        <f t="shared" si="7"/>
        <v>100000</v>
      </c>
    </row>
    <row r="69" ht="22.5" customHeight="1">
      <c r="A69" s="9" t="s">
        <v>299</v>
      </c>
      <c r="B69" s="10" t="s">
        <v>300</v>
      </c>
      <c r="C69" s="11">
        <v>60000.0</v>
      </c>
      <c r="D69" s="12">
        <f>D2</f>
        <v>2</v>
      </c>
      <c r="E69" s="11">
        <f t="shared" si="7"/>
        <v>120000</v>
      </c>
    </row>
    <row r="70" ht="22.5" customHeight="1">
      <c r="A70" s="6" t="s">
        <v>301</v>
      </c>
      <c r="B70" s="7"/>
      <c r="C70" s="19"/>
      <c r="D70" s="12"/>
      <c r="E70" s="11">
        <f t="shared" si="7"/>
        <v>0</v>
      </c>
    </row>
    <row r="71" ht="22.5" customHeight="1">
      <c r="A71" s="9" t="s">
        <v>302</v>
      </c>
      <c r="B71" s="10" t="s">
        <v>303</v>
      </c>
      <c r="C71" s="12">
        <v>2000000.0</v>
      </c>
      <c r="D71" s="12"/>
      <c r="E71" s="11">
        <f t="shared" si="7"/>
        <v>0</v>
      </c>
    </row>
    <row r="72" ht="22.5" customHeight="1">
      <c r="A72" s="6" t="s">
        <v>304</v>
      </c>
      <c r="B72" s="7"/>
      <c r="C72" s="19"/>
      <c r="D72" s="12"/>
      <c r="E72" s="11">
        <f t="shared" si="7"/>
        <v>0</v>
      </c>
    </row>
    <row r="73" ht="22.5" customHeight="1">
      <c r="A73" s="9" t="s">
        <v>305</v>
      </c>
      <c r="B73" s="10" t="s">
        <v>306</v>
      </c>
      <c r="C73" s="12">
        <v>16000.0</v>
      </c>
      <c r="D73" s="12">
        <f>D2</f>
        <v>2</v>
      </c>
      <c r="E73" s="11">
        <f t="shared" si="7"/>
        <v>32000</v>
      </c>
    </row>
    <row r="74" ht="22.5" customHeight="1">
      <c r="A74" s="9" t="s">
        <v>129</v>
      </c>
      <c r="B74" s="10" t="s">
        <v>307</v>
      </c>
      <c r="C74" s="12">
        <v>100000.0</v>
      </c>
      <c r="D74" s="12"/>
      <c r="E74" s="11">
        <f t="shared" si="7"/>
        <v>0</v>
      </c>
    </row>
    <row r="75" ht="30.0" customHeight="1">
      <c r="A75" s="20" t="s">
        <v>131</v>
      </c>
      <c r="B75" s="21"/>
      <c r="C75" s="5"/>
      <c r="D75" s="12"/>
      <c r="E75" s="22">
        <f>SUM(E7:E74)</f>
        <v>6907000</v>
      </c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</row>
    <row r="76" ht="36.0" customHeight="1">
      <c r="A76" s="20" t="s">
        <v>132</v>
      </c>
      <c r="B76" s="8"/>
      <c r="C76" s="8"/>
      <c r="D76" s="8"/>
      <c r="E76" s="22">
        <f>E75/D2</f>
        <v>3453500</v>
      </c>
    </row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fitToHeight="0"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93.86"/>
    <col customWidth="1" min="2" max="2" width="20.57"/>
    <col customWidth="1" min="3" max="3" width="29.14"/>
    <col customWidth="1" min="4" max="4" width="21.57"/>
    <col customWidth="1" min="5" max="5" width="25.43"/>
    <col customWidth="1" min="6" max="7" width="9.0"/>
    <col customWidth="1" min="8" max="8" width="7.0"/>
    <col customWidth="1" min="9" max="10" width="20.86"/>
    <col customWidth="1" min="11" max="11" width="18.57"/>
    <col customWidth="1" min="12" max="12" width="20.43"/>
    <col customWidth="1" min="13" max="13" width="18.57"/>
    <col customWidth="1" min="14" max="14" width="27.43"/>
    <col customWidth="1" min="15" max="26" width="9.0"/>
  </cols>
  <sheetData>
    <row r="1" ht="25.5" customHeight="1">
      <c r="A1" s="1" t="s">
        <v>0</v>
      </c>
      <c r="B1" s="1" t="s">
        <v>1</v>
      </c>
      <c r="C1" s="1" t="s">
        <v>2</v>
      </c>
      <c r="D1" s="1" t="s">
        <v>3</v>
      </c>
    </row>
    <row r="2" ht="27.75" customHeight="1">
      <c r="A2" s="2" t="s">
        <v>4</v>
      </c>
      <c r="B2" s="2">
        <v>34.0</v>
      </c>
      <c r="C2" s="2">
        <v>4.0</v>
      </c>
      <c r="D2" s="3">
        <v>3.0</v>
      </c>
    </row>
    <row r="3" ht="27.75" customHeight="1">
      <c r="A3" s="4"/>
      <c r="B3" s="4"/>
      <c r="C3" s="4"/>
    </row>
    <row r="4" ht="35.25" customHeight="1">
      <c r="A4" s="5" t="s">
        <v>308</v>
      </c>
      <c r="B4" s="5" t="s">
        <v>309</v>
      </c>
      <c r="C4" s="5" t="s">
        <v>310</v>
      </c>
      <c r="D4" s="5" t="s">
        <v>8</v>
      </c>
      <c r="E4" s="5" t="s">
        <v>9</v>
      </c>
    </row>
    <row r="5" ht="22.5" customHeight="1">
      <c r="A5" s="6" t="s">
        <v>311</v>
      </c>
      <c r="B5" s="7"/>
      <c r="C5" s="7"/>
      <c r="D5" s="8"/>
      <c r="E5" s="8"/>
    </row>
    <row r="6" ht="22.5" customHeight="1">
      <c r="A6" s="6" t="s">
        <v>312</v>
      </c>
      <c r="B6" s="7"/>
      <c r="C6" s="7"/>
      <c r="D6" s="8"/>
      <c r="E6" s="8"/>
    </row>
    <row r="7" ht="22.5" customHeight="1">
      <c r="A7" s="9" t="s">
        <v>12</v>
      </c>
      <c r="B7" s="10" t="s">
        <v>313</v>
      </c>
      <c r="C7" s="11">
        <v>337500.0</v>
      </c>
      <c r="D7" s="12"/>
      <c r="E7" s="11">
        <f t="shared" ref="E7:E11" si="1">C7*D7</f>
        <v>0</v>
      </c>
    </row>
    <row r="8" ht="22.5" customHeight="1">
      <c r="A8" s="9" t="s">
        <v>14</v>
      </c>
      <c r="B8" s="10" t="s">
        <v>314</v>
      </c>
      <c r="C8" s="11">
        <v>375000.0</v>
      </c>
      <c r="D8" s="12"/>
      <c r="E8" s="11">
        <f t="shared" si="1"/>
        <v>0</v>
      </c>
      <c r="H8" s="13"/>
      <c r="I8" s="14"/>
      <c r="J8" s="14"/>
      <c r="K8" s="15"/>
      <c r="L8" s="15"/>
      <c r="M8" s="15"/>
      <c r="N8" s="15"/>
    </row>
    <row r="9" ht="22.5" customHeight="1">
      <c r="A9" s="9" t="s">
        <v>16</v>
      </c>
      <c r="B9" s="10" t="s">
        <v>315</v>
      </c>
      <c r="C9" s="11">
        <v>412500.0</v>
      </c>
      <c r="D9" s="12"/>
      <c r="E9" s="11">
        <f t="shared" si="1"/>
        <v>0</v>
      </c>
      <c r="H9" s="13"/>
      <c r="I9" s="14"/>
      <c r="J9" s="14"/>
      <c r="K9" s="15"/>
      <c r="L9" s="15"/>
      <c r="M9" s="15"/>
      <c r="N9" s="15"/>
    </row>
    <row r="10" ht="22.5" customHeight="1">
      <c r="A10" s="9" t="s">
        <v>18</v>
      </c>
      <c r="B10" s="10" t="s">
        <v>316</v>
      </c>
      <c r="C10" s="11">
        <v>487500.0</v>
      </c>
      <c r="D10" s="12"/>
      <c r="E10" s="11">
        <f t="shared" si="1"/>
        <v>0</v>
      </c>
      <c r="H10" s="13"/>
      <c r="I10" s="14"/>
      <c r="J10" s="14"/>
      <c r="K10" s="15"/>
      <c r="L10" s="15"/>
      <c r="M10" s="15"/>
      <c r="N10" s="15"/>
    </row>
    <row r="11" ht="22.5" customHeight="1">
      <c r="A11" s="9" t="s">
        <v>20</v>
      </c>
      <c r="B11" s="10" t="s">
        <v>317</v>
      </c>
      <c r="C11" s="11">
        <v>562500.0</v>
      </c>
      <c r="D11" s="12">
        <v>1.0</v>
      </c>
      <c r="E11" s="11">
        <f t="shared" si="1"/>
        <v>562500</v>
      </c>
      <c r="H11" s="13"/>
      <c r="I11" s="14"/>
      <c r="J11" s="14"/>
      <c r="K11" s="15"/>
      <c r="L11" s="15"/>
      <c r="M11" s="15"/>
      <c r="N11" s="15"/>
    </row>
    <row r="12" ht="22.5" customHeight="1">
      <c r="A12" s="6" t="s">
        <v>318</v>
      </c>
      <c r="B12" s="7"/>
      <c r="C12" s="16"/>
      <c r="D12" s="12"/>
      <c r="E12" s="11"/>
    </row>
    <row r="13" ht="22.5" customHeight="1">
      <c r="A13" s="9" t="s">
        <v>23</v>
      </c>
      <c r="B13" s="10" t="s">
        <v>319</v>
      </c>
      <c r="C13" s="11">
        <v>750000.0</v>
      </c>
      <c r="D13" s="12"/>
      <c r="E13" s="11">
        <f t="shared" ref="E13:E27" si="2">C13*D13</f>
        <v>0</v>
      </c>
    </row>
    <row r="14" ht="22.5" customHeight="1">
      <c r="A14" s="9" t="s">
        <v>25</v>
      </c>
      <c r="B14" s="10" t="s">
        <v>320</v>
      </c>
      <c r="C14" s="11">
        <v>950000.0</v>
      </c>
      <c r="D14" s="12">
        <v>1.0</v>
      </c>
      <c r="E14" s="11">
        <f t="shared" si="2"/>
        <v>950000</v>
      </c>
    </row>
    <row r="15" ht="22.5" customHeight="1">
      <c r="A15" s="9" t="s">
        <v>27</v>
      </c>
      <c r="B15" s="10" t="s">
        <v>321</v>
      </c>
      <c r="C15" s="11">
        <v>300000.0</v>
      </c>
      <c r="D15" s="12"/>
      <c r="E15" s="11">
        <f t="shared" si="2"/>
        <v>0</v>
      </c>
    </row>
    <row r="16" ht="22.5" customHeight="1">
      <c r="A16" s="6" t="s">
        <v>322</v>
      </c>
      <c r="B16" s="7"/>
      <c r="C16" s="16"/>
      <c r="D16" s="12"/>
      <c r="E16" s="11">
        <f t="shared" si="2"/>
        <v>0</v>
      </c>
    </row>
    <row r="17" ht="22.5" customHeight="1">
      <c r="A17" s="9" t="s">
        <v>30</v>
      </c>
      <c r="B17" s="10" t="s">
        <v>323</v>
      </c>
      <c r="C17" s="11">
        <v>467500.0</v>
      </c>
      <c r="D17" s="12">
        <v>1.0</v>
      </c>
      <c r="E17" s="11">
        <f t="shared" si="2"/>
        <v>467500</v>
      </c>
    </row>
    <row r="18" ht="22.5" customHeight="1">
      <c r="A18" s="9" t="s">
        <v>32</v>
      </c>
      <c r="B18" s="10" t="s">
        <v>324</v>
      </c>
      <c r="C18" s="11">
        <v>200000.0</v>
      </c>
      <c r="D18" s="12">
        <v>1.0</v>
      </c>
      <c r="E18" s="11">
        <f t="shared" si="2"/>
        <v>200000</v>
      </c>
    </row>
    <row r="19" ht="22.5" customHeight="1">
      <c r="A19" s="9" t="s">
        <v>34</v>
      </c>
      <c r="B19" s="10" t="s">
        <v>325</v>
      </c>
      <c r="C19" s="11">
        <v>260000.0</v>
      </c>
      <c r="D19" s="8"/>
      <c r="E19" s="11">
        <f t="shared" si="2"/>
        <v>0</v>
      </c>
    </row>
    <row r="20" ht="22.5" customHeight="1">
      <c r="A20" s="9" t="s">
        <v>36</v>
      </c>
      <c r="B20" s="10" t="s">
        <v>326</v>
      </c>
      <c r="C20" s="11">
        <v>300000.0</v>
      </c>
      <c r="D20" s="12"/>
      <c r="E20" s="11">
        <f t="shared" si="2"/>
        <v>0</v>
      </c>
    </row>
    <row r="21" ht="22.5" customHeight="1">
      <c r="A21" s="9" t="s">
        <v>327</v>
      </c>
      <c r="B21" s="10" t="s">
        <v>328</v>
      </c>
      <c r="C21" s="11">
        <v>316000.0</v>
      </c>
      <c r="D21" s="12"/>
      <c r="E21" s="11">
        <f t="shared" si="2"/>
        <v>0</v>
      </c>
    </row>
    <row r="22" ht="22.5" customHeight="1">
      <c r="A22" s="9" t="s">
        <v>329</v>
      </c>
      <c r="B22" s="10" t="s">
        <v>330</v>
      </c>
      <c r="C22" s="11">
        <v>380000.0</v>
      </c>
      <c r="D22" s="12"/>
      <c r="E22" s="11">
        <f t="shared" si="2"/>
        <v>0</v>
      </c>
    </row>
    <row r="23" ht="22.5" customHeight="1">
      <c r="A23" s="9" t="s">
        <v>331</v>
      </c>
      <c r="B23" s="10" t="s">
        <v>332</v>
      </c>
      <c r="C23" s="11">
        <v>440000.0</v>
      </c>
      <c r="D23" s="12"/>
      <c r="E23" s="11">
        <f t="shared" si="2"/>
        <v>0</v>
      </c>
    </row>
    <row r="24" ht="22.5" customHeight="1">
      <c r="A24" s="9" t="s">
        <v>44</v>
      </c>
      <c r="B24" s="10" t="s">
        <v>333</v>
      </c>
      <c r="C24" s="11">
        <v>572000.0</v>
      </c>
      <c r="D24" s="12"/>
      <c r="E24" s="11">
        <f t="shared" si="2"/>
        <v>0</v>
      </c>
    </row>
    <row r="25" ht="22.5" customHeight="1">
      <c r="A25" s="9" t="s">
        <v>46</v>
      </c>
      <c r="B25" s="10" t="s">
        <v>334</v>
      </c>
      <c r="C25" s="11">
        <v>617000.0</v>
      </c>
      <c r="D25" s="12"/>
      <c r="E25" s="11">
        <f t="shared" si="2"/>
        <v>0</v>
      </c>
    </row>
    <row r="26" ht="22.5" customHeight="1">
      <c r="A26" s="9" t="s">
        <v>48</v>
      </c>
      <c r="B26" s="10" t="s">
        <v>335</v>
      </c>
      <c r="C26" s="11">
        <v>472000.0</v>
      </c>
      <c r="D26" s="12"/>
      <c r="E26" s="11">
        <f t="shared" si="2"/>
        <v>0</v>
      </c>
    </row>
    <row r="27" ht="22.5" customHeight="1">
      <c r="A27" s="9" t="s">
        <v>50</v>
      </c>
      <c r="B27" s="10" t="s">
        <v>336</v>
      </c>
      <c r="C27" s="11">
        <v>517000.0</v>
      </c>
      <c r="D27" s="12"/>
      <c r="E27" s="11">
        <f t="shared" si="2"/>
        <v>0</v>
      </c>
    </row>
    <row r="28" ht="22.5" customHeight="1">
      <c r="A28" s="6" t="s">
        <v>337</v>
      </c>
      <c r="B28" s="7"/>
      <c r="C28" s="16"/>
      <c r="D28" s="12"/>
      <c r="E28" s="11"/>
    </row>
    <row r="29" ht="22.5" customHeight="1">
      <c r="A29" s="6" t="s">
        <v>338</v>
      </c>
      <c r="B29" s="7"/>
      <c r="C29" s="16"/>
      <c r="D29" s="12"/>
      <c r="E29" s="11"/>
    </row>
    <row r="30" ht="22.5" customHeight="1">
      <c r="A30" s="9" t="s">
        <v>54</v>
      </c>
      <c r="B30" s="10" t="s">
        <v>339</v>
      </c>
      <c r="C30" s="11">
        <v>75000.0</v>
      </c>
      <c r="D30" s="12">
        <f>D2</f>
        <v>3</v>
      </c>
      <c r="E30" s="11">
        <f t="shared" ref="E30:E38" si="3">C30*D30</f>
        <v>225000</v>
      </c>
    </row>
    <row r="31" ht="22.5" customHeight="1">
      <c r="A31" s="9" t="s">
        <v>340</v>
      </c>
      <c r="B31" s="10" t="s">
        <v>341</v>
      </c>
      <c r="C31" s="11">
        <v>55000.0</v>
      </c>
      <c r="D31" s="12"/>
      <c r="E31" s="11">
        <f t="shared" si="3"/>
        <v>0</v>
      </c>
    </row>
    <row r="32" ht="22.5" customHeight="1">
      <c r="A32" s="9" t="s">
        <v>58</v>
      </c>
      <c r="B32" s="10" t="s">
        <v>342</v>
      </c>
      <c r="C32" s="11">
        <v>25000.0</v>
      </c>
      <c r="D32" s="12">
        <f>D2</f>
        <v>3</v>
      </c>
      <c r="E32" s="11">
        <f t="shared" si="3"/>
        <v>75000</v>
      </c>
    </row>
    <row r="33" ht="22.5" customHeight="1">
      <c r="A33" s="9" t="s">
        <v>60</v>
      </c>
      <c r="B33" s="10" t="s">
        <v>343</v>
      </c>
      <c r="C33" s="11">
        <v>250000.0</v>
      </c>
      <c r="D33" s="12">
        <v>1.0</v>
      </c>
      <c r="E33" s="11">
        <f t="shared" si="3"/>
        <v>250000</v>
      </c>
    </row>
    <row r="34" ht="22.5" customHeight="1">
      <c r="A34" s="9" t="s">
        <v>62</v>
      </c>
      <c r="B34" s="10" t="s">
        <v>344</v>
      </c>
      <c r="C34" s="11">
        <v>65000.0</v>
      </c>
      <c r="D34" s="12"/>
      <c r="E34" s="11">
        <f t="shared" si="3"/>
        <v>0</v>
      </c>
    </row>
    <row r="35" ht="22.5" customHeight="1">
      <c r="A35" s="9" t="s">
        <v>64</v>
      </c>
      <c r="B35" s="10" t="s">
        <v>345</v>
      </c>
      <c r="C35" s="11">
        <v>65000.0</v>
      </c>
      <c r="D35" s="12">
        <f>D2</f>
        <v>3</v>
      </c>
      <c r="E35" s="11">
        <f t="shared" si="3"/>
        <v>195000</v>
      </c>
    </row>
    <row r="36" ht="22.5" customHeight="1">
      <c r="A36" s="9" t="s">
        <v>66</v>
      </c>
      <c r="B36" s="10" t="s">
        <v>346</v>
      </c>
      <c r="C36" s="11">
        <v>60000.0</v>
      </c>
      <c r="D36" s="12"/>
      <c r="E36" s="11">
        <f t="shared" si="3"/>
        <v>0</v>
      </c>
    </row>
    <row r="37" ht="22.5" customHeight="1">
      <c r="A37" s="9" t="s">
        <v>68</v>
      </c>
      <c r="B37" s="10" t="s">
        <v>347</v>
      </c>
      <c r="C37" s="11">
        <v>60000.0</v>
      </c>
      <c r="D37" s="12"/>
      <c r="E37" s="11">
        <f t="shared" si="3"/>
        <v>0</v>
      </c>
    </row>
    <row r="38" ht="22.5" customHeight="1">
      <c r="A38" s="9" t="s">
        <v>348</v>
      </c>
      <c r="B38" s="10" t="s">
        <v>349</v>
      </c>
      <c r="C38" s="11">
        <v>35000.0</v>
      </c>
      <c r="D38" s="12"/>
      <c r="E38" s="11">
        <f t="shared" si="3"/>
        <v>0</v>
      </c>
    </row>
    <row r="39" ht="22.5" customHeight="1">
      <c r="A39" s="6" t="s">
        <v>350</v>
      </c>
      <c r="B39" s="7"/>
      <c r="C39" s="17"/>
      <c r="D39" s="12"/>
      <c r="E39" s="11"/>
    </row>
    <row r="40" ht="22.5" customHeight="1">
      <c r="A40" s="9" t="s">
        <v>73</v>
      </c>
      <c r="B40" s="10" t="s">
        <v>351</v>
      </c>
      <c r="C40" s="11">
        <v>160000.0</v>
      </c>
      <c r="D40" s="12">
        <f>D2</f>
        <v>3</v>
      </c>
      <c r="E40" s="11">
        <f t="shared" ref="E40:E45" si="4">C40*D40</f>
        <v>480000</v>
      </c>
    </row>
    <row r="41" ht="22.5" customHeight="1">
      <c r="A41" s="9" t="s">
        <v>352</v>
      </c>
      <c r="B41" s="10" t="s">
        <v>353</v>
      </c>
      <c r="C41" s="11">
        <v>500000.0</v>
      </c>
      <c r="D41" s="12">
        <f>ROUNDUP(D2/4,0)</f>
        <v>1</v>
      </c>
      <c r="E41" s="11">
        <f t="shared" si="4"/>
        <v>500000</v>
      </c>
    </row>
    <row r="42" ht="22.5" customHeight="1">
      <c r="A42" s="6" t="s">
        <v>354</v>
      </c>
      <c r="B42" s="7"/>
      <c r="C42" s="17"/>
      <c r="D42" s="12"/>
      <c r="E42" s="11">
        <f t="shared" si="4"/>
        <v>0</v>
      </c>
    </row>
    <row r="43" ht="22.5" customHeight="1">
      <c r="A43" s="9" t="s">
        <v>355</v>
      </c>
      <c r="B43" s="10" t="s">
        <v>356</v>
      </c>
      <c r="C43" s="11">
        <v>150000.0</v>
      </c>
      <c r="D43" s="12">
        <f>$D$2</f>
        <v>3</v>
      </c>
      <c r="E43" s="11">
        <f t="shared" si="4"/>
        <v>450000</v>
      </c>
    </row>
    <row r="44" ht="22.5" customHeight="1">
      <c r="A44" s="9" t="s">
        <v>80</v>
      </c>
      <c r="B44" s="10" t="s">
        <v>357</v>
      </c>
      <c r="C44" s="11">
        <v>200000.0</v>
      </c>
      <c r="D44" s="12">
        <v>1.0</v>
      </c>
      <c r="E44" s="11">
        <f t="shared" si="4"/>
        <v>200000</v>
      </c>
    </row>
    <row r="45" ht="22.5" customHeight="1">
      <c r="A45" s="9" t="s">
        <v>358</v>
      </c>
      <c r="B45" s="10" t="s">
        <v>359</v>
      </c>
      <c r="C45" s="11">
        <v>50000.0</v>
      </c>
      <c r="D45" s="12">
        <f>$D$2</f>
        <v>3</v>
      </c>
      <c r="E45" s="11">
        <f t="shared" si="4"/>
        <v>150000</v>
      </c>
    </row>
    <row r="46" ht="22.5" customHeight="1">
      <c r="A46" s="6" t="s">
        <v>84</v>
      </c>
      <c r="B46" s="7"/>
      <c r="C46" s="16"/>
      <c r="D46" s="12"/>
      <c r="E46" s="11"/>
    </row>
    <row r="47" ht="22.5" customHeight="1">
      <c r="A47" s="6" t="s">
        <v>360</v>
      </c>
      <c r="B47" s="7"/>
      <c r="C47" s="16"/>
      <c r="D47" s="12"/>
      <c r="E47" s="11"/>
    </row>
    <row r="48" ht="22.5" customHeight="1">
      <c r="A48" s="9" t="s">
        <v>361</v>
      </c>
      <c r="B48" s="10" t="s">
        <v>362</v>
      </c>
      <c r="C48" s="11">
        <v>450000.0</v>
      </c>
      <c r="D48" s="12">
        <v>4.0</v>
      </c>
      <c r="E48" s="11">
        <f t="shared" ref="E48:E52" si="5">C48*D48</f>
        <v>1800000</v>
      </c>
    </row>
    <row r="49" ht="22.5" customHeight="1">
      <c r="A49" s="9" t="s">
        <v>363</v>
      </c>
      <c r="B49" s="10" t="s">
        <v>364</v>
      </c>
      <c r="C49" s="11">
        <v>550000.0</v>
      </c>
      <c r="D49" s="12"/>
      <c r="E49" s="11">
        <f t="shared" si="5"/>
        <v>0</v>
      </c>
    </row>
    <row r="50" ht="22.5" customHeight="1">
      <c r="A50" s="9" t="s">
        <v>90</v>
      </c>
      <c r="B50" s="10" t="s">
        <v>365</v>
      </c>
      <c r="C50" s="11">
        <v>1100000.0</v>
      </c>
      <c r="D50" s="12">
        <f>IF((($D$2&gt;=4)*($D$2&lt;=11))=1,4,0)</f>
        <v>0</v>
      </c>
      <c r="E50" s="11">
        <f t="shared" si="5"/>
        <v>0</v>
      </c>
    </row>
    <row r="51" ht="22.5" customHeight="1">
      <c r="A51" s="9" t="s">
        <v>366</v>
      </c>
      <c r="B51" s="10" t="s">
        <v>367</v>
      </c>
      <c r="C51" s="11">
        <v>1300000.0</v>
      </c>
      <c r="D51" s="12"/>
      <c r="E51" s="11">
        <f t="shared" si="5"/>
        <v>0</v>
      </c>
    </row>
    <row r="52" ht="22.5" customHeight="1">
      <c r="A52" s="9" t="s">
        <v>94</v>
      </c>
      <c r="B52" s="10" t="s">
        <v>368</v>
      </c>
      <c r="C52" s="11">
        <v>650000.0</v>
      </c>
      <c r="D52" s="12">
        <f>IF((($D$2&gt;=10)*($D$2&lt;=11))=1,1,0)</f>
        <v>0</v>
      </c>
      <c r="E52" s="11">
        <f t="shared" si="5"/>
        <v>0</v>
      </c>
    </row>
    <row r="53" ht="22.5" customHeight="1">
      <c r="A53" s="6" t="s">
        <v>369</v>
      </c>
      <c r="B53" s="7"/>
      <c r="C53" s="16"/>
      <c r="D53" s="12"/>
      <c r="E53" s="11"/>
    </row>
    <row r="54" ht="22.5" customHeight="1">
      <c r="A54" s="9" t="s">
        <v>370</v>
      </c>
      <c r="B54" s="10" t="s">
        <v>371</v>
      </c>
      <c r="C54" s="11">
        <v>200000.0</v>
      </c>
      <c r="D54" s="12">
        <f>IF((($D$2&gt;=10)*($D$2&lt;=11))=1,2,1)</f>
        <v>1</v>
      </c>
      <c r="E54" s="11">
        <f t="shared" ref="E54:E59" si="6">C54*D54</f>
        <v>200000</v>
      </c>
    </row>
    <row r="55" ht="22.5" customHeight="1">
      <c r="A55" s="9" t="s">
        <v>99</v>
      </c>
      <c r="B55" s="10" t="s">
        <v>372</v>
      </c>
      <c r="C55" s="11">
        <v>300000.0</v>
      </c>
      <c r="D55" s="12"/>
      <c r="E55" s="11">
        <f t="shared" si="6"/>
        <v>0</v>
      </c>
    </row>
    <row r="56" ht="22.5" customHeight="1">
      <c r="A56" s="6" t="s">
        <v>373</v>
      </c>
      <c r="B56" s="7"/>
      <c r="C56" s="16"/>
      <c r="D56" s="12"/>
      <c r="E56" s="11">
        <f t="shared" si="6"/>
        <v>0</v>
      </c>
    </row>
    <row r="57" ht="22.5" customHeight="1">
      <c r="A57" s="9" t="s">
        <v>374</v>
      </c>
      <c r="B57" s="10" t="s">
        <v>375</v>
      </c>
      <c r="C57" s="11">
        <v>200000.0</v>
      </c>
      <c r="D57" s="12"/>
      <c r="E57" s="11">
        <f t="shared" si="6"/>
        <v>0</v>
      </c>
    </row>
    <row r="58" ht="22.5" customHeight="1">
      <c r="A58" s="18" t="s">
        <v>104</v>
      </c>
      <c r="B58" s="7"/>
      <c r="C58" s="16"/>
      <c r="D58" s="12"/>
      <c r="E58" s="11">
        <f t="shared" si="6"/>
        <v>0</v>
      </c>
    </row>
    <row r="59" ht="22.5" customHeight="1">
      <c r="A59" s="9" t="s">
        <v>105</v>
      </c>
      <c r="B59" s="10" t="s">
        <v>376</v>
      </c>
      <c r="C59" s="11">
        <v>650000.0</v>
      </c>
      <c r="D59" s="12"/>
      <c r="E59" s="11">
        <f t="shared" si="6"/>
        <v>0</v>
      </c>
    </row>
    <row r="60" ht="22.5" customHeight="1">
      <c r="A60" s="6" t="s">
        <v>107</v>
      </c>
      <c r="B60" s="7"/>
      <c r="C60" s="16"/>
      <c r="D60" s="12"/>
      <c r="E60" s="11"/>
    </row>
    <row r="61" ht="22.5" customHeight="1">
      <c r="A61" s="6" t="s">
        <v>377</v>
      </c>
      <c r="B61" s="7"/>
      <c r="C61" s="16"/>
      <c r="D61" s="12"/>
      <c r="E61" s="11"/>
    </row>
    <row r="62" ht="22.5" customHeight="1">
      <c r="A62" s="9" t="s">
        <v>378</v>
      </c>
      <c r="B62" s="10" t="s">
        <v>379</v>
      </c>
      <c r="C62" s="11">
        <v>250000.0</v>
      </c>
      <c r="D62" s="12">
        <f>IF((($D$2&gt;=1)*($D$2&lt;=3))=1,4,0)</f>
        <v>4</v>
      </c>
      <c r="E62" s="11">
        <f t="shared" ref="E62:E74" si="7">C62*D62</f>
        <v>1000000</v>
      </c>
    </row>
    <row r="63" ht="22.5" customHeight="1">
      <c r="A63" s="9" t="s">
        <v>111</v>
      </c>
      <c r="B63" s="10" t="s">
        <v>380</v>
      </c>
      <c r="C63" s="11">
        <v>250000.0</v>
      </c>
      <c r="D63" s="12">
        <f>IF((($D$2&gt;=4)*($D$2&lt;=11))=1,4,0)</f>
        <v>0</v>
      </c>
      <c r="E63" s="11">
        <f t="shared" si="7"/>
        <v>0</v>
      </c>
    </row>
    <row r="64" ht="22.5" customHeight="1">
      <c r="A64" s="9" t="s">
        <v>113</v>
      </c>
      <c r="B64" s="10" t="s">
        <v>381</v>
      </c>
      <c r="C64" s="11">
        <v>200000.0</v>
      </c>
      <c r="D64" s="12"/>
      <c r="E64" s="11">
        <f t="shared" si="7"/>
        <v>0</v>
      </c>
    </row>
    <row r="65" ht="22.5" customHeight="1">
      <c r="A65" s="6" t="s">
        <v>115</v>
      </c>
      <c r="B65" s="7"/>
      <c r="C65" s="16"/>
      <c r="D65" s="12"/>
      <c r="E65" s="11">
        <f t="shared" si="7"/>
        <v>0</v>
      </c>
    </row>
    <row r="66" ht="22.5" customHeight="1">
      <c r="A66" s="6" t="s">
        <v>382</v>
      </c>
      <c r="B66" s="7"/>
      <c r="C66" s="16"/>
      <c r="D66" s="12"/>
      <c r="E66" s="11">
        <f t="shared" si="7"/>
        <v>0</v>
      </c>
    </row>
    <row r="67" ht="22.5" customHeight="1">
      <c r="A67" s="9" t="s">
        <v>383</v>
      </c>
      <c r="B67" s="10" t="s">
        <v>118</v>
      </c>
      <c r="C67" s="11">
        <v>50000.0</v>
      </c>
      <c r="D67" s="12">
        <f>ROUNDUP(D2*C2*4/24,0)</f>
        <v>2</v>
      </c>
      <c r="E67" s="11">
        <f t="shared" si="7"/>
        <v>100000</v>
      </c>
    </row>
    <row r="68" ht="22.5" customHeight="1">
      <c r="A68" s="9" t="s">
        <v>119</v>
      </c>
      <c r="B68" s="10" t="s">
        <v>120</v>
      </c>
      <c r="C68" s="11">
        <v>100000.0</v>
      </c>
      <c r="D68" s="12">
        <v>1.0</v>
      </c>
      <c r="E68" s="11">
        <f t="shared" si="7"/>
        <v>100000</v>
      </c>
    </row>
    <row r="69" ht="22.5" customHeight="1">
      <c r="A69" s="9" t="s">
        <v>384</v>
      </c>
      <c r="B69" s="10" t="s">
        <v>385</v>
      </c>
      <c r="C69" s="11">
        <v>60000.0</v>
      </c>
      <c r="D69" s="12">
        <f>D2</f>
        <v>3</v>
      </c>
      <c r="E69" s="11">
        <f t="shared" si="7"/>
        <v>180000</v>
      </c>
    </row>
    <row r="70" ht="22.5" customHeight="1">
      <c r="A70" s="6" t="s">
        <v>386</v>
      </c>
      <c r="B70" s="7"/>
      <c r="C70" s="19"/>
      <c r="D70" s="12"/>
      <c r="E70" s="11">
        <f t="shared" si="7"/>
        <v>0</v>
      </c>
    </row>
    <row r="71" ht="22.5" customHeight="1">
      <c r="A71" s="9" t="s">
        <v>387</v>
      </c>
      <c r="B71" s="10" t="s">
        <v>388</v>
      </c>
      <c r="C71" s="12">
        <v>2000000.0</v>
      </c>
      <c r="D71" s="12"/>
      <c r="E71" s="11">
        <f t="shared" si="7"/>
        <v>0</v>
      </c>
    </row>
    <row r="72" ht="22.5" customHeight="1">
      <c r="A72" s="6" t="s">
        <v>389</v>
      </c>
      <c r="B72" s="7"/>
      <c r="C72" s="19"/>
      <c r="D72" s="12"/>
      <c r="E72" s="11">
        <f t="shared" si="7"/>
        <v>0</v>
      </c>
    </row>
    <row r="73" ht="22.5" customHeight="1">
      <c r="A73" s="9" t="s">
        <v>390</v>
      </c>
      <c r="B73" s="10" t="s">
        <v>391</v>
      </c>
      <c r="C73" s="12">
        <v>16000.0</v>
      </c>
      <c r="D73" s="12">
        <f>D2</f>
        <v>3</v>
      </c>
      <c r="E73" s="11">
        <f t="shared" si="7"/>
        <v>48000</v>
      </c>
    </row>
    <row r="74" ht="22.5" customHeight="1">
      <c r="A74" s="9" t="s">
        <v>129</v>
      </c>
      <c r="B74" s="10" t="s">
        <v>392</v>
      </c>
      <c r="C74" s="12">
        <v>100000.0</v>
      </c>
      <c r="D74" s="12"/>
      <c r="E74" s="11">
        <f t="shared" si="7"/>
        <v>0</v>
      </c>
    </row>
    <row r="75" ht="30.0" customHeight="1">
      <c r="A75" s="20" t="s">
        <v>131</v>
      </c>
      <c r="B75" s="21"/>
      <c r="C75" s="5"/>
      <c r="D75" s="12"/>
      <c r="E75" s="22">
        <f>SUM(E7:E74)</f>
        <v>8133000</v>
      </c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</row>
    <row r="76" ht="36.0" customHeight="1">
      <c r="A76" s="20" t="s">
        <v>132</v>
      </c>
      <c r="B76" s="8"/>
      <c r="C76" s="8"/>
      <c r="D76" s="8"/>
      <c r="E76" s="22">
        <f>E75/D2</f>
        <v>2711000</v>
      </c>
    </row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fitToHeight="0"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93.86"/>
    <col customWidth="1" min="2" max="2" width="20.57"/>
    <col customWidth="1" min="3" max="3" width="29.14"/>
    <col customWidth="1" min="4" max="4" width="21.57"/>
    <col customWidth="1" min="5" max="5" width="25.43"/>
    <col customWidth="1" min="6" max="7" width="9.0"/>
    <col customWidth="1" min="8" max="8" width="7.0"/>
    <col customWidth="1" min="9" max="10" width="20.86"/>
    <col customWidth="1" min="11" max="11" width="18.57"/>
    <col customWidth="1" min="12" max="12" width="20.43"/>
    <col customWidth="1" min="13" max="13" width="18.57"/>
    <col customWidth="1" min="14" max="14" width="27.43"/>
    <col customWidth="1" min="15" max="26" width="9.0"/>
  </cols>
  <sheetData>
    <row r="1" ht="25.5" customHeight="1">
      <c r="A1" s="1" t="s">
        <v>0</v>
      </c>
      <c r="B1" s="1" t="s">
        <v>1</v>
      </c>
      <c r="C1" s="1" t="s">
        <v>2</v>
      </c>
      <c r="D1" s="1" t="s">
        <v>3</v>
      </c>
    </row>
    <row r="2" ht="27.75" customHeight="1">
      <c r="A2" s="2" t="s">
        <v>4</v>
      </c>
      <c r="B2" s="2">
        <v>34.0</v>
      </c>
      <c r="C2" s="2">
        <v>4.0</v>
      </c>
      <c r="D2" s="3">
        <v>4.0</v>
      </c>
    </row>
    <row r="3" ht="27.75" customHeight="1">
      <c r="A3" s="4"/>
      <c r="B3" s="4"/>
      <c r="C3" s="4"/>
    </row>
    <row r="4" ht="35.25" customHeight="1">
      <c r="A4" s="5" t="s">
        <v>393</v>
      </c>
      <c r="B4" s="5" t="s">
        <v>394</v>
      </c>
      <c r="C4" s="5" t="s">
        <v>395</v>
      </c>
      <c r="D4" s="5" t="s">
        <v>8</v>
      </c>
      <c r="E4" s="5" t="s">
        <v>9</v>
      </c>
    </row>
    <row r="5" ht="22.5" customHeight="1">
      <c r="A5" s="6" t="s">
        <v>396</v>
      </c>
      <c r="B5" s="7"/>
      <c r="C5" s="7"/>
      <c r="D5" s="8"/>
      <c r="E5" s="8"/>
    </row>
    <row r="6" ht="22.5" customHeight="1">
      <c r="A6" s="6" t="s">
        <v>397</v>
      </c>
      <c r="B6" s="7"/>
      <c r="C6" s="7"/>
      <c r="D6" s="8"/>
      <c r="E6" s="8"/>
    </row>
    <row r="7" ht="22.5" customHeight="1">
      <c r="A7" s="9" t="s">
        <v>12</v>
      </c>
      <c r="B7" s="10" t="s">
        <v>398</v>
      </c>
      <c r="C7" s="11">
        <v>337500.0</v>
      </c>
      <c r="D7" s="12">
        <f>ROUNDUP($D$2/2,0)</f>
        <v>2</v>
      </c>
      <c r="E7" s="11">
        <f t="shared" ref="E7:E11" si="1">C7*D7</f>
        <v>675000</v>
      </c>
    </row>
    <row r="8" ht="22.5" customHeight="1">
      <c r="A8" s="9" t="s">
        <v>14</v>
      </c>
      <c r="B8" s="10" t="s">
        <v>399</v>
      </c>
      <c r="C8" s="11">
        <v>375000.0</v>
      </c>
      <c r="D8" s="12"/>
      <c r="E8" s="11">
        <f t="shared" si="1"/>
        <v>0</v>
      </c>
      <c r="H8" s="13"/>
      <c r="I8" s="14"/>
      <c r="J8" s="14"/>
      <c r="K8" s="15"/>
      <c r="L8" s="15"/>
      <c r="M8" s="15"/>
      <c r="N8" s="15"/>
    </row>
    <row r="9" ht="22.5" customHeight="1">
      <c r="A9" s="9" t="s">
        <v>16</v>
      </c>
      <c r="B9" s="10" t="s">
        <v>400</v>
      </c>
      <c r="C9" s="11">
        <v>412500.0</v>
      </c>
      <c r="D9" s="12"/>
      <c r="E9" s="11">
        <f t="shared" si="1"/>
        <v>0</v>
      </c>
      <c r="H9" s="13"/>
      <c r="I9" s="14"/>
      <c r="J9" s="14"/>
      <c r="K9" s="15"/>
      <c r="L9" s="15"/>
      <c r="M9" s="15"/>
      <c r="N9" s="15"/>
    </row>
    <row r="10" ht="22.5" customHeight="1">
      <c r="A10" s="9" t="s">
        <v>18</v>
      </c>
      <c r="B10" s="10" t="s">
        <v>401</v>
      </c>
      <c r="C10" s="11">
        <v>487500.0</v>
      </c>
      <c r="D10" s="12"/>
      <c r="E10" s="11">
        <f t="shared" si="1"/>
        <v>0</v>
      </c>
      <c r="H10" s="13"/>
      <c r="I10" s="14"/>
      <c r="J10" s="14"/>
      <c r="K10" s="15"/>
      <c r="L10" s="15"/>
      <c r="M10" s="15"/>
      <c r="N10" s="15"/>
    </row>
    <row r="11" ht="22.5" customHeight="1">
      <c r="A11" s="9" t="s">
        <v>20</v>
      </c>
      <c r="B11" s="10" t="s">
        <v>402</v>
      </c>
      <c r="C11" s="11">
        <v>562500.0</v>
      </c>
      <c r="D11" s="12"/>
      <c r="E11" s="11">
        <f t="shared" si="1"/>
        <v>0</v>
      </c>
      <c r="H11" s="13"/>
      <c r="I11" s="14"/>
      <c r="J11" s="14"/>
      <c r="K11" s="15"/>
      <c r="L11" s="15"/>
      <c r="M11" s="15"/>
      <c r="N11" s="15"/>
    </row>
    <row r="12" ht="22.5" customHeight="1">
      <c r="A12" s="6" t="s">
        <v>403</v>
      </c>
      <c r="B12" s="7"/>
      <c r="C12" s="16"/>
      <c r="D12" s="12"/>
      <c r="E12" s="11"/>
    </row>
    <row r="13" ht="22.5" customHeight="1">
      <c r="A13" s="9" t="s">
        <v>23</v>
      </c>
      <c r="B13" s="10" t="s">
        <v>404</v>
      </c>
      <c r="C13" s="11">
        <v>750000.0</v>
      </c>
      <c r="D13" s="12">
        <f>ROUNDUP($D$2/2,0)</f>
        <v>2</v>
      </c>
      <c r="E13" s="11">
        <f t="shared" ref="E13:E27" si="2">C13*D13</f>
        <v>1500000</v>
      </c>
    </row>
    <row r="14" ht="22.5" customHeight="1">
      <c r="A14" s="9" t="s">
        <v>25</v>
      </c>
      <c r="B14" s="10" t="s">
        <v>405</v>
      </c>
      <c r="C14" s="11">
        <v>950000.0</v>
      </c>
      <c r="D14" s="12"/>
      <c r="E14" s="11">
        <f t="shared" si="2"/>
        <v>0</v>
      </c>
    </row>
    <row r="15" ht="22.5" customHeight="1">
      <c r="A15" s="9" t="s">
        <v>27</v>
      </c>
      <c r="B15" s="10" t="s">
        <v>406</v>
      </c>
      <c r="C15" s="11">
        <v>300000.0</v>
      </c>
      <c r="D15" s="12"/>
      <c r="E15" s="11">
        <f t="shared" si="2"/>
        <v>0</v>
      </c>
    </row>
    <row r="16" ht="22.5" customHeight="1">
      <c r="A16" s="6" t="s">
        <v>407</v>
      </c>
      <c r="B16" s="7"/>
      <c r="C16" s="16"/>
      <c r="D16" s="12"/>
      <c r="E16" s="11">
        <f t="shared" si="2"/>
        <v>0</v>
      </c>
    </row>
    <row r="17" ht="22.5" customHeight="1">
      <c r="A17" s="9" t="s">
        <v>30</v>
      </c>
      <c r="B17" s="10" t="s">
        <v>408</v>
      </c>
      <c r="C17" s="11">
        <v>467500.0</v>
      </c>
      <c r="D17" s="12">
        <f>ROUNDUP($D$2/2,0)</f>
        <v>2</v>
      </c>
      <c r="E17" s="11">
        <f t="shared" si="2"/>
        <v>935000</v>
      </c>
    </row>
    <row r="18" ht="22.5" customHeight="1">
      <c r="A18" s="9" t="s">
        <v>32</v>
      </c>
      <c r="B18" s="10" t="s">
        <v>409</v>
      </c>
      <c r="C18" s="11">
        <v>200000.0</v>
      </c>
      <c r="D18" s="12"/>
      <c r="E18" s="11">
        <f t="shared" si="2"/>
        <v>0</v>
      </c>
    </row>
    <row r="19" ht="22.5" customHeight="1">
      <c r="A19" s="9" t="s">
        <v>34</v>
      </c>
      <c r="B19" s="10" t="s">
        <v>410</v>
      </c>
      <c r="C19" s="11">
        <v>260000.0</v>
      </c>
      <c r="D19" s="8"/>
      <c r="E19" s="11">
        <f t="shared" si="2"/>
        <v>0</v>
      </c>
    </row>
    <row r="20" ht="22.5" customHeight="1">
      <c r="A20" s="9" t="s">
        <v>36</v>
      </c>
      <c r="B20" s="10" t="s">
        <v>411</v>
      </c>
      <c r="C20" s="11">
        <v>300000.0</v>
      </c>
      <c r="D20" s="12"/>
      <c r="E20" s="11">
        <f t="shared" si="2"/>
        <v>0</v>
      </c>
    </row>
    <row r="21" ht="22.5" customHeight="1">
      <c r="A21" s="9" t="s">
        <v>412</v>
      </c>
      <c r="B21" s="10" t="s">
        <v>413</v>
      </c>
      <c r="C21" s="11">
        <v>316000.0</v>
      </c>
      <c r="D21" s="12"/>
      <c r="E21" s="11">
        <f t="shared" si="2"/>
        <v>0</v>
      </c>
    </row>
    <row r="22" ht="22.5" customHeight="1">
      <c r="A22" s="9" t="s">
        <v>414</v>
      </c>
      <c r="B22" s="10" t="s">
        <v>415</v>
      </c>
      <c r="C22" s="11">
        <v>380000.0</v>
      </c>
      <c r="D22" s="12"/>
      <c r="E22" s="11">
        <f t="shared" si="2"/>
        <v>0</v>
      </c>
    </row>
    <row r="23" ht="22.5" customHeight="1">
      <c r="A23" s="9" t="s">
        <v>416</v>
      </c>
      <c r="B23" s="10" t="s">
        <v>417</v>
      </c>
      <c r="C23" s="11">
        <v>440000.0</v>
      </c>
      <c r="D23" s="12"/>
      <c r="E23" s="11">
        <f t="shared" si="2"/>
        <v>0</v>
      </c>
    </row>
    <row r="24" ht="22.5" customHeight="1">
      <c r="A24" s="9" t="s">
        <v>44</v>
      </c>
      <c r="B24" s="10" t="s">
        <v>418</v>
      </c>
      <c r="C24" s="11">
        <v>572000.0</v>
      </c>
      <c r="D24" s="12"/>
      <c r="E24" s="11">
        <f t="shared" si="2"/>
        <v>0</v>
      </c>
    </row>
    <row r="25" ht="22.5" customHeight="1">
      <c r="A25" s="9" t="s">
        <v>46</v>
      </c>
      <c r="B25" s="10" t="s">
        <v>419</v>
      </c>
      <c r="C25" s="11">
        <v>617000.0</v>
      </c>
      <c r="D25" s="12"/>
      <c r="E25" s="11">
        <f t="shared" si="2"/>
        <v>0</v>
      </c>
    </row>
    <row r="26" ht="22.5" customHeight="1">
      <c r="A26" s="9" t="s">
        <v>48</v>
      </c>
      <c r="B26" s="10" t="s">
        <v>420</v>
      </c>
      <c r="C26" s="11">
        <v>472000.0</v>
      </c>
      <c r="D26" s="12"/>
      <c r="E26" s="11">
        <f t="shared" si="2"/>
        <v>0</v>
      </c>
    </row>
    <row r="27" ht="22.5" customHeight="1">
      <c r="A27" s="9" t="s">
        <v>50</v>
      </c>
      <c r="B27" s="10" t="s">
        <v>421</v>
      </c>
      <c r="C27" s="11">
        <v>517000.0</v>
      </c>
      <c r="D27" s="12"/>
      <c r="E27" s="11">
        <f t="shared" si="2"/>
        <v>0</v>
      </c>
    </row>
    <row r="28" ht="22.5" customHeight="1">
      <c r="A28" s="6" t="s">
        <v>422</v>
      </c>
      <c r="B28" s="7"/>
      <c r="C28" s="16"/>
      <c r="D28" s="12"/>
      <c r="E28" s="11"/>
    </row>
    <row r="29" ht="22.5" customHeight="1">
      <c r="A29" s="6" t="s">
        <v>423</v>
      </c>
      <c r="B29" s="7"/>
      <c r="C29" s="16"/>
      <c r="D29" s="12"/>
      <c r="E29" s="11"/>
    </row>
    <row r="30" ht="22.5" customHeight="1">
      <c r="A30" s="9" t="s">
        <v>54</v>
      </c>
      <c r="B30" s="10" t="s">
        <v>424</v>
      </c>
      <c r="C30" s="11">
        <v>75000.0</v>
      </c>
      <c r="D30" s="12">
        <f>D2</f>
        <v>4</v>
      </c>
      <c r="E30" s="11">
        <f t="shared" ref="E30:E38" si="3">C30*D30</f>
        <v>300000</v>
      </c>
    </row>
    <row r="31" ht="22.5" customHeight="1">
      <c r="A31" s="9" t="s">
        <v>425</v>
      </c>
      <c r="B31" s="10" t="s">
        <v>426</v>
      </c>
      <c r="C31" s="11">
        <v>55000.0</v>
      </c>
      <c r="D31" s="12"/>
      <c r="E31" s="11">
        <f t="shared" si="3"/>
        <v>0</v>
      </c>
    </row>
    <row r="32" ht="22.5" customHeight="1">
      <c r="A32" s="9" t="s">
        <v>58</v>
      </c>
      <c r="B32" s="10" t="s">
        <v>427</v>
      </c>
      <c r="C32" s="11">
        <v>25000.0</v>
      </c>
      <c r="D32" s="12">
        <f>D2</f>
        <v>4</v>
      </c>
      <c r="E32" s="11">
        <f t="shared" si="3"/>
        <v>100000</v>
      </c>
    </row>
    <row r="33" ht="22.5" customHeight="1">
      <c r="A33" s="9" t="s">
        <v>60</v>
      </c>
      <c r="B33" s="10" t="s">
        <v>428</v>
      </c>
      <c r="C33" s="11">
        <v>250000.0</v>
      </c>
      <c r="D33" s="12">
        <v>1.0</v>
      </c>
      <c r="E33" s="11">
        <f t="shared" si="3"/>
        <v>250000</v>
      </c>
    </row>
    <row r="34" ht="22.5" customHeight="1">
      <c r="A34" s="9" t="s">
        <v>62</v>
      </c>
      <c r="B34" s="10" t="s">
        <v>429</v>
      </c>
      <c r="C34" s="11">
        <v>65000.0</v>
      </c>
      <c r="D34" s="12"/>
      <c r="E34" s="11">
        <f t="shared" si="3"/>
        <v>0</v>
      </c>
    </row>
    <row r="35" ht="22.5" customHeight="1">
      <c r="A35" s="9" t="s">
        <v>64</v>
      </c>
      <c r="B35" s="10" t="s">
        <v>430</v>
      </c>
      <c r="C35" s="11">
        <v>65000.0</v>
      </c>
      <c r="D35" s="12">
        <f>D2</f>
        <v>4</v>
      </c>
      <c r="E35" s="11">
        <f t="shared" si="3"/>
        <v>260000</v>
      </c>
    </row>
    <row r="36" ht="22.5" customHeight="1">
      <c r="A36" s="9" t="s">
        <v>66</v>
      </c>
      <c r="B36" s="10" t="s">
        <v>431</v>
      </c>
      <c r="C36" s="11">
        <v>60000.0</v>
      </c>
      <c r="D36" s="12"/>
      <c r="E36" s="11">
        <f t="shared" si="3"/>
        <v>0</v>
      </c>
    </row>
    <row r="37" ht="22.5" customHeight="1">
      <c r="A37" s="9" t="s">
        <v>68</v>
      </c>
      <c r="B37" s="10" t="s">
        <v>432</v>
      </c>
      <c r="C37" s="11">
        <v>60000.0</v>
      </c>
      <c r="D37" s="12"/>
      <c r="E37" s="11">
        <f t="shared" si="3"/>
        <v>0</v>
      </c>
    </row>
    <row r="38" ht="22.5" customHeight="1">
      <c r="A38" s="9" t="s">
        <v>433</v>
      </c>
      <c r="B38" s="10" t="s">
        <v>434</v>
      </c>
      <c r="C38" s="11">
        <v>35000.0</v>
      </c>
      <c r="D38" s="12"/>
      <c r="E38" s="11">
        <f t="shared" si="3"/>
        <v>0</v>
      </c>
    </row>
    <row r="39" ht="22.5" customHeight="1">
      <c r="A39" s="6" t="s">
        <v>435</v>
      </c>
      <c r="B39" s="7"/>
      <c r="C39" s="17"/>
      <c r="D39" s="12"/>
      <c r="E39" s="11"/>
    </row>
    <row r="40" ht="22.5" customHeight="1">
      <c r="A40" s="9" t="s">
        <v>73</v>
      </c>
      <c r="B40" s="10" t="s">
        <v>436</v>
      </c>
      <c r="C40" s="11">
        <v>160000.0</v>
      </c>
      <c r="D40" s="12">
        <f>D2</f>
        <v>4</v>
      </c>
      <c r="E40" s="11">
        <f t="shared" ref="E40:E45" si="4">C40*D40</f>
        <v>640000</v>
      </c>
    </row>
    <row r="41" ht="22.5" customHeight="1">
      <c r="A41" s="9" t="s">
        <v>437</v>
      </c>
      <c r="B41" s="10" t="s">
        <v>438</v>
      </c>
      <c r="C41" s="11">
        <v>500000.0</v>
      </c>
      <c r="D41" s="12">
        <f>ROUNDUP(D2/4,0)</f>
        <v>1</v>
      </c>
      <c r="E41" s="11">
        <f t="shared" si="4"/>
        <v>500000</v>
      </c>
    </row>
    <row r="42" ht="22.5" customHeight="1">
      <c r="A42" s="6" t="s">
        <v>439</v>
      </c>
      <c r="B42" s="7"/>
      <c r="C42" s="17"/>
      <c r="D42" s="12"/>
      <c r="E42" s="11">
        <f t="shared" si="4"/>
        <v>0</v>
      </c>
    </row>
    <row r="43" ht="22.5" customHeight="1">
      <c r="A43" s="9" t="s">
        <v>440</v>
      </c>
      <c r="B43" s="10" t="s">
        <v>441</v>
      </c>
      <c r="C43" s="11">
        <v>150000.0</v>
      </c>
      <c r="D43" s="12">
        <f>$D$2</f>
        <v>4</v>
      </c>
      <c r="E43" s="11">
        <f t="shared" si="4"/>
        <v>600000</v>
      </c>
    </row>
    <row r="44" ht="22.5" customHeight="1">
      <c r="A44" s="9" t="s">
        <v>80</v>
      </c>
      <c r="B44" s="10" t="s">
        <v>442</v>
      </c>
      <c r="C44" s="11">
        <v>200000.0</v>
      </c>
      <c r="D44" s="12">
        <v>1.0</v>
      </c>
      <c r="E44" s="11">
        <f t="shared" si="4"/>
        <v>200000</v>
      </c>
    </row>
    <row r="45" ht="22.5" customHeight="1">
      <c r="A45" s="9" t="s">
        <v>443</v>
      </c>
      <c r="B45" s="10" t="s">
        <v>444</v>
      </c>
      <c r="C45" s="11">
        <v>50000.0</v>
      </c>
      <c r="D45" s="12">
        <f>$D$2</f>
        <v>4</v>
      </c>
      <c r="E45" s="11">
        <f t="shared" si="4"/>
        <v>200000</v>
      </c>
    </row>
    <row r="46" ht="22.5" customHeight="1">
      <c r="A46" s="6" t="s">
        <v>84</v>
      </c>
      <c r="B46" s="7"/>
      <c r="C46" s="16"/>
      <c r="D46" s="12"/>
      <c r="E46" s="11"/>
    </row>
    <row r="47" ht="22.5" customHeight="1">
      <c r="A47" s="6" t="s">
        <v>445</v>
      </c>
      <c r="B47" s="7"/>
      <c r="C47" s="16"/>
      <c r="D47" s="12"/>
      <c r="E47" s="11"/>
    </row>
    <row r="48" ht="22.5" customHeight="1">
      <c r="A48" s="9" t="s">
        <v>446</v>
      </c>
      <c r="B48" s="10" t="s">
        <v>447</v>
      </c>
      <c r="C48" s="11">
        <v>450000.0</v>
      </c>
      <c r="D48" s="12">
        <f>IF($D$2=1,4, IF($D$2=2,4,0))</f>
        <v>0</v>
      </c>
      <c r="E48" s="11">
        <f t="shared" ref="E48:E52" si="5">C48*D48</f>
        <v>0</v>
      </c>
    </row>
    <row r="49" ht="22.5" customHeight="1">
      <c r="A49" s="9" t="s">
        <v>448</v>
      </c>
      <c r="B49" s="10" t="s">
        <v>449</v>
      </c>
      <c r="C49" s="11">
        <v>550000.0</v>
      </c>
      <c r="D49" s="12">
        <f>IF($D$2=3,4, 0)</f>
        <v>0</v>
      </c>
      <c r="E49" s="11">
        <f t="shared" si="5"/>
        <v>0</v>
      </c>
    </row>
    <row r="50" ht="22.5" customHeight="1">
      <c r="A50" s="9" t="s">
        <v>90</v>
      </c>
      <c r="B50" s="10" t="s">
        <v>450</v>
      </c>
      <c r="C50" s="11">
        <v>1100000.0</v>
      </c>
      <c r="D50" s="12">
        <f>IF((($D$2&gt;=4)*($D$2&lt;=11))=1,4,0)</f>
        <v>4</v>
      </c>
      <c r="E50" s="11">
        <f t="shared" si="5"/>
        <v>4400000</v>
      </c>
    </row>
    <row r="51" ht="22.5" customHeight="1">
      <c r="A51" s="9" t="s">
        <v>451</v>
      </c>
      <c r="B51" s="10" t="s">
        <v>452</v>
      </c>
      <c r="C51" s="11">
        <v>1300000.0</v>
      </c>
      <c r="D51" s="12"/>
      <c r="E51" s="11">
        <f t="shared" si="5"/>
        <v>0</v>
      </c>
    </row>
    <row r="52" ht="22.5" customHeight="1">
      <c r="A52" s="9" t="s">
        <v>94</v>
      </c>
      <c r="B52" s="10" t="s">
        <v>453</v>
      </c>
      <c r="C52" s="11">
        <v>650000.0</v>
      </c>
      <c r="D52" s="12">
        <f>IF((($D$2&gt;=10)*($D$2&lt;=11))=1,1,0)</f>
        <v>0</v>
      </c>
      <c r="E52" s="11">
        <f t="shared" si="5"/>
        <v>0</v>
      </c>
    </row>
    <row r="53" ht="22.5" customHeight="1">
      <c r="A53" s="6" t="s">
        <v>454</v>
      </c>
      <c r="B53" s="7"/>
      <c r="C53" s="16"/>
      <c r="D53" s="12"/>
      <c r="E53" s="11"/>
    </row>
    <row r="54" ht="22.5" customHeight="1">
      <c r="A54" s="9" t="s">
        <v>455</v>
      </c>
      <c r="B54" s="10" t="s">
        <v>456</v>
      </c>
      <c r="C54" s="11">
        <v>200000.0</v>
      </c>
      <c r="D54" s="12">
        <f>IF((($D$2&gt;=10)*($D$2&lt;=11))=1,2,1)</f>
        <v>1</v>
      </c>
      <c r="E54" s="11">
        <f t="shared" ref="E54:E59" si="6">C54*D54</f>
        <v>200000</v>
      </c>
    </row>
    <row r="55" ht="22.5" customHeight="1">
      <c r="A55" s="9" t="s">
        <v>99</v>
      </c>
      <c r="B55" s="10" t="s">
        <v>457</v>
      </c>
      <c r="C55" s="11">
        <v>300000.0</v>
      </c>
      <c r="D55" s="12"/>
      <c r="E55" s="11">
        <f t="shared" si="6"/>
        <v>0</v>
      </c>
    </row>
    <row r="56" ht="22.5" customHeight="1">
      <c r="A56" s="6" t="s">
        <v>458</v>
      </c>
      <c r="B56" s="7"/>
      <c r="C56" s="16"/>
      <c r="D56" s="12"/>
      <c r="E56" s="11">
        <f t="shared" si="6"/>
        <v>0</v>
      </c>
    </row>
    <row r="57" ht="22.5" customHeight="1">
      <c r="A57" s="9" t="s">
        <v>459</v>
      </c>
      <c r="B57" s="10" t="s">
        <v>460</v>
      </c>
      <c r="C57" s="11">
        <v>200000.0</v>
      </c>
      <c r="D57" s="12"/>
      <c r="E57" s="11">
        <f t="shared" si="6"/>
        <v>0</v>
      </c>
    </row>
    <row r="58" ht="22.5" customHeight="1">
      <c r="A58" s="18" t="s">
        <v>104</v>
      </c>
      <c r="B58" s="7"/>
      <c r="C58" s="16"/>
      <c r="D58" s="12"/>
      <c r="E58" s="11">
        <f t="shared" si="6"/>
        <v>0</v>
      </c>
    </row>
    <row r="59" ht="22.5" customHeight="1">
      <c r="A59" s="9" t="s">
        <v>105</v>
      </c>
      <c r="B59" s="10" t="s">
        <v>461</v>
      </c>
      <c r="C59" s="11">
        <v>650000.0</v>
      </c>
      <c r="D59" s="12"/>
      <c r="E59" s="11">
        <f t="shared" si="6"/>
        <v>0</v>
      </c>
    </row>
    <row r="60" ht="22.5" customHeight="1">
      <c r="A60" s="6" t="s">
        <v>107</v>
      </c>
      <c r="B60" s="7"/>
      <c r="C60" s="16"/>
      <c r="D60" s="12"/>
      <c r="E60" s="11"/>
    </row>
    <row r="61" ht="22.5" customHeight="1">
      <c r="A61" s="6" t="s">
        <v>462</v>
      </c>
      <c r="B61" s="7"/>
      <c r="C61" s="16"/>
      <c r="D61" s="12"/>
      <c r="E61" s="11"/>
    </row>
    <row r="62" ht="22.5" customHeight="1">
      <c r="A62" s="9" t="s">
        <v>463</v>
      </c>
      <c r="B62" s="10" t="s">
        <v>464</v>
      </c>
      <c r="C62" s="11">
        <v>250000.0</v>
      </c>
      <c r="D62" s="12">
        <f>IF((($D$2&gt;=1)*($D$2&lt;=3))=1,4,0)</f>
        <v>0</v>
      </c>
      <c r="E62" s="11">
        <f t="shared" ref="E62:E74" si="7">C62*D62</f>
        <v>0</v>
      </c>
    </row>
    <row r="63" ht="22.5" customHeight="1">
      <c r="A63" s="9" t="s">
        <v>111</v>
      </c>
      <c r="B63" s="10" t="s">
        <v>465</v>
      </c>
      <c r="C63" s="11">
        <v>250000.0</v>
      </c>
      <c r="D63" s="12">
        <f>IF((($D$2&gt;=4)*($D$2&lt;=11))=1,4,0)</f>
        <v>4</v>
      </c>
      <c r="E63" s="11">
        <f t="shared" si="7"/>
        <v>1000000</v>
      </c>
    </row>
    <row r="64" ht="22.5" customHeight="1">
      <c r="A64" s="9" t="s">
        <v>113</v>
      </c>
      <c r="B64" s="10" t="s">
        <v>466</v>
      </c>
      <c r="C64" s="11">
        <v>200000.0</v>
      </c>
      <c r="D64" s="12"/>
      <c r="E64" s="11">
        <f t="shared" si="7"/>
        <v>0</v>
      </c>
    </row>
    <row r="65" ht="22.5" customHeight="1">
      <c r="A65" s="6" t="s">
        <v>115</v>
      </c>
      <c r="B65" s="7"/>
      <c r="C65" s="16"/>
      <c r="D65" s="12"/>
      <c r="E65" s="11">
        <f t="shared" si="7"/>
        <v>0</v>
      </c>
    </row>
    <row r="66" ht="22.5" customHeight="1">
      <c r="A66" s="6" t="s">
        <v>467</v>
      </c>
      <c r="B66" s="7"/>
      <c r="C66" s="16"/>
      <c r="D66" s="12"/>
      <c r="E66" s="11">
        <f t="shared" si="7"/>
        <v>0</v>
      </c>
    </row>
    <row r="67" ht="22.5" customHeight="1">
      <c r="A67" s="9" t="s">
        <v>468</v>
      </c>
      <c r="B67" s="10" t="s">
        <v>118</v>
      </c>
      <c r="C67" s="11">
        <v>50000.0</v>
      </c>
      <c r="D67" s="12">
        <f>ROUNDUP(D2*C2*4/24,0)</f>
        <v>3</v>
      </c>
      <c r="E67" s="11">
        <f t="shared" si="7"/>
        <v>150000</v>
      </c>
    </row>
    <row r="68" ht="22.5" customHeight="1">
      <c r="A68" s="9" t="s">
        <v>119</v>
      </c>
      <c r="B68" s="10" t="s">
        <v>120</v>
      </c>
      <c r="C68" s="11">
        <v>100000.0</v>
      </c>
      <c r="D68" s="12">
        <v>1.0</v>
      </c>
      <c r="E68" s="11">
        <f t="shared" si="7"/>
        <v>100000</v>
      </c>
    </row>
    <row r="69" ht="22.5" customHeight="1">
      <c r="A69" s="9" t="s">
        <v>469</v>
      </c>
      <c r="B69" s="10" t="s">
        <v>470</v>
      </c>
      <c r="C69" s="11">
        <v>60000.0</v>
      </c>
      <c r="D69" s="12">
        <f>D2</f>
        <v>4</v>
      </c>
      <c r="E69" s="11">
        <f t="shared" si="7"/>
        <v>240000</v>
      </c>
    </row>
    <row r="70" ht="22.5" customHeight="1">
      <c r="A70" s="6" t="s">
        <v>471</v>
      </c>
      <c r="B70" s="7"/>
      <c r="C70" s="19"/>
      <c r="D70" s="12"/>
      <c r="E70" s="11">
        <f t="shared" si="7"/>
        <v>0</v>
      </c>
    </row>
    <row r="71" ht="22.5" customHeight="1">
      <c r="A71" s="9" t="s">
        <v>472</v>
      </c>
      <c r="B71" s="10" t="s">
        <v>473</v>
      </c>
      <c r="C71" s="12">
        <v>2000000.0</v>
      </c>
      <c r="D71" s="12"/>
      <c r="E71" s="11">
        <f t="shared" si="7"/>
        <v>0</v>
      </c>
    </row>
    <row r="72" ht="22.5" customHeight="1">
      <c r="A72" s="6" t="s">
        <v>474</v>
      </c>
      <c r="B72" s="7"/>
      <c r="C72" s="19"/>
      <c r="D72" s="12"/>
      <c r="E72" s="11">
        <f t="shared" si="7"/>
        <v>0</v>
      </c>
    </row>
    <row r="73" ht="22.5" customHeight="1">
      <c r="A73" s="9" t="s">
        <v>475</v>
      </c>
      <c r="B73" s="10" t="s">
        <v>476</v>
      </c>
      <c r="C73" s="12">
        <v>16000.0</v>
      </c>
      <c r="D73" s="12">
        <f>D2</f>
        <v>4</v>
      </c>
      <c r="E73" s="11">
        <f t="shared" si="7"/>
        <v>64000</v>
      </c>
    </row>
    <row r="74" ht="22.5" customHeight="1">
      <c r="A74" s="9" t="s">
        <v>129</v>
      </c>
      <c r="B74" s="10" t="s">
        <v>477</v>
      </c>
      <c r="C74" s="12">
        <v>100000.0</v>
      </c>
      <c r="D74" s="12"/>
      <c r="E74" s="11">
        <f t="shared" si="7"/>
        <v>0</v>
      </c>
    </row>
    <row r="75" ht="30.0" customHeight="1">
      <c r="A75" s="20" t="s">
        <v>131</v>
      </c>
      <c r="B75" s="21"/>
      <c r="C75" s="5"/>
      <c r="D75" s="12"/>
      <c r="E75" s="22">
        <f>SUM(E7:E74)</f>
        <v>12314000</v>
      </c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</row>
    <row r="76" ht="36.0" customHeight="1">
      <c r="A76" s="20" t="s">
        <v>132</v>
      </c>
      <c r="B76" s="8"/>
      <c r="C76" s="8"/>
      <c r="D76" s="8"/>
      <c r="E76" s="22">
        <f>E75/D2</f>
        <v>3078500</v>
      </c>
    </row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fitToHeight="0"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93.86"/>
    <col customWidth="1" min="2" max="2" width="20.57"/>
    <col customWidth="1" min="3" max="3" width="29.14"/>
    <col customWidth="1" min="4" max="4" width="21.57"/>
    <col customWidth="1" min="5" max="5" width="25.43"/>
    <col customWidth="1" min="6" max="7" width="9.0"/>
    <col customWidth="1" min="8" max="8" width="7.0"/>
    <col customWidth="1" min="9" max="10" width="20.86"/>
    <col customWidth="1" min="11" max="11" width="18.57"/>
    <col customWidth="1" min="12" max="12" width="20.43"/>
    <col customWidth="1" min="13" max="13" width="18.57"/>
    <col customWidth="1" min="14" max="14" width="27.43"/>
    <col customWidth="1" min="15" max="26" width="9.0"/>
  </cols>
  <sheetData>
    <row r="1" ht="25.5" customHeight="1">
      <c r="A1" s="1" t="s">
        <v>0</v>
      </c>
      <c r="B1" s="1" t="s">
        <v>1</v>
      </c>
      <c r="C1" s="1" t="s">
        <v>2</v>
      </c>
      <c r="D1" s="1" t="s">
        <v>3</v>
      </c>
    </row>
    <row r="2" ht="27.75" customHeight="1">
      <c r="A2" s="2" t="s">
        <v>4</v>
      </c>
      <c r="B2" s="2">
        <v>34.0</v>
      </c>
      <c r="C2" s="2">
        <v>4.0</v>
      </c>
      <c r="D2" s="3">
        <v>5.0</v>
      </c>
    </row>
    <row r="3" ht="27.75" customHeight="1">
      <c r="A3" s="4"/>
      <c r="B3" s="4"/>
      <c r="C3" s="4"/>
    </row>
    <row r="4" ht="35.25" customHeight="1">
      <c r="A4" s="5" t="s">
        <v>478</v>
      </c>
      <c r="B4" s="5" t="s">
        <v>479</v>
      </c>
      <c r="C4" s="5" t="s">
        <v>480</v>
      </c>
      <c r="D4" s="5" t="s">
        <v>8</v>
      </c>
      <c r="E4" s="5" t="s">
        <v>9</v>
      </c>
    </row>
    <row r="5" ht="22.5" customHeight="1">
      <c r="A5" s="6" t="s">
        <v>481</v>
      </c>
      <c r="B5" s="7"/>
      <c r="C5" s="7"/>
      <c r="D5" s="8"/>
      <c r="E5" s="8"/>
    </row>
    <row r="6" ht="22.5" customHeight="1">
      <c r="A6" s="6" t="s">
        <v>482</v>
      </c>
      <c r="B6" s="7"/>
      <c r="C6" s="7"/>
      <c r="D6" s="8"/>
      <c r="E6" s="8"/>
    </row>
    <row r="7" ht="22.5" customHeight="1">
      <c r="A7" s="9" t="s">
        <v>12</v>
      </c>
      <c r="B7" s="10" t="s">
        <v>483</v>
      </c>
      <c r="C7" s="11">
        <v>337500.0</v>
      </c>
      <c r="D7" s="12">
        <v>1.0</v>
      </c>
      <c r="E7" s="11">
        <f t="shared" ref="E7:E11" si="1">C7*D7</f>
        <v>337500</v>
      </c>
    </row>
    <row r="8" ht="22.5" customHeight="1">
      <c r="A8" s="9" t="s">
        <v>14</v>
      </c>
      <c r="B8" s="10" t="s">
        <v>484</v>
      </c>
      <c r="C8" s="11">
        <v>375000.0</v>
      </c>
      <c r="D8" s="12"/>
      <c r="E8" s="11">
        <f t="shared" si="1"/>
        <v>0</v>
      </c>
      <c r="H8" s="13"/>
      <c r="I8" s="14"/>
      <c r="J8" s="14"/>
      <c r="K8" s="15"/>
      <c r="L8" s="15"/>
      <c r="M8" s="15"/>
      <c r="N8" s="15"/>
    </row>
    <row r="9" ht="22.5" customHeight="1">
      <c r="A9" s="9" t="s">
        <v>16</v>
      </c>
      <c r="B9" s="10" t="s">
        <v>485</v>
      </c>
      <c r="C9" s="11">
        <v>412500.0</v>
      </c>
      <c r="D9" s="12"/>
      <c r="E9" s="11">
        <f t="shared" si="1"/>
        <v>0</v>
      </c>
      <c r="H9" s="13"/>
      <c r="I9" s="14"/>
      <c r="J9" s="14"/>
      <c r="K9" s="15"/>
      <c r="L9" s="15"/>
      <c r="M9" s="15"/>
      <c r="N9" s="15"/>
    </row>
    <row r="10" ht="22.5" customHeight="1">
      <c r="A10" s="9" t="s">
        <v>18</v>
      </c>
      <c r="B10" s="10" t="s">
        <v>486</v>
      </c>
      <c r="C10" s="11">
        <v>487500.0</v>
      </c>
      <c r="D10" s="12"/>
      <c r="E10" s="11">
        <f t="shared" si="1"/>
        <v>0</v>
      </c>
      <c r="H10" s="13"/>
      <c r="I10" s="14"/>
      <c r="J10" s="14"/>
      <c r="K10" s="15"/>
      <c r="L10" s="15"/>
      <c r="M10" s="15"/>
      <c r="N10" s="15"/>
    </row>
    <row r="11" ht="22.5" customHeight="1">
      <c r="A11" s="9" t="s">
        <v>20</v>
      </c>
      <c r="B11" s="10" t="s">
        <v>487</v>
      </c>
      <c r="C11" s="11">
        <v>562500.0</v>
      </c>
      <c r="D11" s="12">
        <v>1.0</v>
      </c>
      <c r="E11" s="11">
        <f t="shared" si="1"/>
        <v>562500</v>
      </c>
      <c r="H11" s="13"/>
      <c r="I11" s="14"/>
      <c r="J11" s="14"/>
      <c r="K11" s="15"/>
      <c r="L11" s="15"/>
      <c r="M11" s="15"/>
      <c r="N11" s="15"/>
    </row>
    <row r="12" ht="22.5" customHeight="1">
      <c r="A12" s="6" t="s">
        <v>488</v>
      </c>
      <c r="B12" s="7"/>
      <c r="C12" s="16"/>
      <c r="D12" s="12"/>
      <c r="E12" s="11"/>
    </row>
    <row r="13" ht="22.5" customHeight="1">
      <c r="A13" s="9" t="s">
        <v>23</v>
      </c>
      <c r="B13" s="10" t="s">
        <v>489</v>
      </c>
      <c r="C13" s="11">
        <v>750000.0</v>
      </c>
      <c r="D13" s="12">
        <v>1.0</v>
      </c>
      <c r="E13" s="11">
        <f t="shared" ref="E13:E27" si="2">C13*D13</f>
        <v>750000</v>
      </c>
    </row>
    <row r="14" ht="22.5" customHeight="1">
      <c r="A14" s="9" t="s">
        <v>25</v>
      </c>
      <c r="B14" s="10" t="s">
        <v>490</v>
      </c>
      <c r="C14" s="11">
        <v>950000.0</v>
      </c>
      <c r="D14" s="12">
        <v>1.0</v>
      </c>
      <c r="E14" s="11">
        <f t="shared" si="2"/>
        <v>950000</v>
      </c>
    </row>
    <row r="15" ht="22.5" customHeight="1">
      <c r="A15" s="9" t="s">
        <v>27</v>
      </c>
      <c r="B15" s="10" t="s">
        <v>491</v>
      </c>
      <c r="C15" s="11">
        <v>300000.0</v>
      </c>
      <c r="D15" s="12"/>
      <c r="E15" s="11">
        <f t="shared" si="2"/>
        <v>0</v>
      </c>
    </row>
    <row r="16" ht="22.5" customHeight="1">
      <c r="A16" s="6" t="s">
        <v>492</v>
      </c>
      <c r="B16" s="7"/>
      <c r="C16" s="16"/>
      <c r="D16" s="12"/>
      <c r="E16" s="11">
        <f t="shared" si="2"/>
        <v>0</v>
      </c>
    </row>
    <row r="17" ht="22.5" customHeight="1">
      <c r="A17" s="9" t="s">
        <v>30</v>
      </c>
      <c r="B17" s="10" t="s">
        <v>493</v>
      </c>
      <c r="C17" s="11">
        <v>467500.0</v>
      </c>
      <c r="D17" s="12">
        <v>2.0</v>
      </c>
      <c r="E17" s="11">
        <f t="shared" si="2"/>
        <v>935000</v>
      </c>
    </row>
    <row r="18" ht="22.5" customHeight="1">
      <c r="A18" s="9" t="s">
        <v>32</v>
      </c>
      <c r="B18" s="10" t="s">
        <v>494</v>
      </c>
      <c r="C18" s="11">
        <v>200000.0</v>
      </c>
      <c r="D18" s="12">
        <v>1.0</v>
      </c>
      <c r="E18" s="11">
        <f t="shared" si="2"/>
        <v>200000</v>
      </c>
    </row>
    <row r="19" ht="22.5" customHeight="1">
      <c r="A19" s="9" t="s">
        <v>34</v>
      </c>
      <c r="B19" s="10" t="s">
        <v>495</v>
      </c>
      <c r="C19" s="11">
        <v>260000.0</v>
      </c>
      <c r="D19" s="8"/>
      <c r="E19" s="11">
        <f t="shared" si="2"/>
        <v>0</v>
      </c>
    </row>
    <row r="20" ht="22.5" customHeight="1">
      <c r="A20" s="9" t="s">
        <v>36</v>
      </c>
      <c r="B20" s="10" t="s">
        <v>496</v>
      </c>
      <c r="C20" s="11">
        <v>300000.0</v>
      </c>
      <c r="D20" s="12"/>
      <c r="E20" s="11">
        <f t="shared" si="2"/>
        <v>0</v>
      </c>
    </row>
    <row r="21" ht="22.5" customHeight="1">
      <c r="A21" s="9" t="s">
        <v>497</v>
      </c>
      <c r="B21" s="10" t="s">
        <v>498</v>
      </c>
      <c r="C21" s="11">
        <v>316000.0</v>
      </c>
      <c r="D21" s="12"/>
      <c r="E21" s="11">
        <f t="shared" si="2"/>
        <v>0</v>
      </c>
    </row>
    <row r="22" ht="22.5" customHeight="1">
      <c r="A22" s="9" t="s">
        <v>499</v>
      </c>
      <c r="B22" s="10" t="s">
        <v>500</v>
      </c>
      <c r="C22" s="11">
        <v>380000.0</v>
      </c>
      <c r="D22" s="12"/>
      <c r="E22" s="11">
        <f t="shared" si="2"/>
        <v>0</v>
      </c>
    </row>
    <row r="23" ht="22.5" customHeight="1">
      <c r="A23" s="9" t="s">
        <v>501</v>
      </c>
      <c r="B23" s="10" t="s">
        <v>502</v>
      </c>
      <c r="C23" s="11">
        <v>440000.0</v>
      </c>
      <c r="D23" s="12"/>
      <c r="E23" s="11">
        <f t="shared" si="2"/>
        <v>0</v>
      </c>
    </row>
    <row r="24" ht="22.5" customHeight="1">
      <c r="A24" s="9" t="s">
        <v>44</v>
      </c>
      <c r="B24" s="10" t="s">
        <v>503</v>
      </c>
      <c r="C24" s="11">
        <v>572000.0</v>
      </c>
      <c r="D24" s="12"/>
      <c r="E24" s="11">
        <f t="shared" si="2"/>
        <v>0</v>
      </c>
    </row>
    <row r="25" ht="22.5" customHeight="1">
      <c r="A25" s="9" t="s">
        <v>46</v>
      </c>
      <c r="B25" s="10" t="s">
        <v>504</v>
      </c>
      <c r="C25" s="11">
        <v>617000.0</v>
      </c>
      <c r="D25" s="12"/>
      <c r="E25" s="11">
        <f t="shared" si="2"/>
        <v>0</v>
      </c>
    </row>
    <row r="26" ht="22.5" customHeight="1">
      <c r="A26" s="9" t="s">
        <v>48</v>
      </c>
      <c r="B26" s="10" t="s">
        <v>505</v>
      </c>
      <c r="C26" s="11">
        <v>472000.0</v>
      </c>
      <c r="D26" s="12"/>
      <c r="E26" s="11">
        <f t="shared" si="2"/>
        <v>0</v>
      </c>
    </row>
    <row r="27" ht="22.5" customHeight="1">
      <c r="A27" s="9" t="s">
        <v>50</v>
      </c>
      <c r="B27" s="10" t="s">
        <v>506</v>
      </c>
      <c r="C27" s="11">
        <v>517000.0</v>
      </c>
      <c r="D27" s="12"/>
      <c r="E27" s="11">
        <f t="shared" si="2"/>
        <v>0</v>
      </c>
    </row>
    <row r="28" ht="22.5" customHeight="1">
      <c r="A28" s="6" t="s">
        <v>507</v>
      </c>
      <c r="B28" s="7"/>
      <c r="C28" s="16"/>
      <c r="D28" s="12"/>
      <c r="E28" s="11"/>
    </row>
    <row r="29" ht="22.5" customHeight="1">
      <c r="A29" s="6" t="s">
        <v>508</v>
      </c>
      <c r="B29" s="7"/>
      <c r="C29" s="16"/>
      <c r="D29" s="12"/>
      <c r="E29" s="11"/>
    </row>
    <row r="30" ht="22.5" customHeight="1">
      <c r="A30" s="9" t="s">
        <v>54</v>
      </c>
      <c r="B30" s="10" t="s">
        <v>509</v>
      </c>
      <c r="C30" s="11">
        <v>75000.0</v>
      </c>
      <c r="D30" s="12">
        <f>D2</f>
        <v>5</v>
      </c>
      <c r="E30" s="11">
        <f t="shared" ref="E30:E38" si="3">C30*D30</f>
        <v>375000</v>
      </c>
    </row>
    <row r="31" ht="22.5" customHeight="1">
      <c r="A31" s="9" t="s">
        <v>510</v>
      </c>
      <c r="B31" s="10" t="s">
        <v>511</v>
      </c>
      <c r="C31" s="11">
        <v>55000.0</v>
      </c>
      <c r="D31" s="12"/>
      <c r="E31" s="11">
        <f t="shared" si="3"/>
        <v>0</v>
      </c>
    </row>
    <row r="32" ht="22.5" customHeight="1">
      <c r="A32" s="9" t="s">
        <v>58</v>
      </c>
      <c r="B32" s="10" t="s">
        <v>512</v>
      </c>
      <c r="C32" s="11">
        <v>25000.0</v>
      </c>
      <c r="D32" s="12">
        <f>D2</f>
        <v>5</v>
      </c>
      <c r="E32" s="11">
        <f t="shared" si="3"/>
        <v>125000</v>
      </c>
    </row>
    <row r="33" ht="22.5" customHeight="1">
      <c r="A33" s="9" t="s">
        <v>60</v>
      </c>
      <c r="B33" s="10" t="s">
        <v>513</v>
      </c>
      <c r="C33" s="11">
        <v>250000.0</v>
      </c>
      <c r="D33" s="12">
        <v>1.0</v>
      </c>
      <c r="E33" s="11">
        <f t="shared" si="3"/>
        <v>250000</v>
      </c>
    </row>
    <row r="34" ht="22.5" customHeight="1">
      <c r="A34" s="9" t="s">
        <v>62</v>
      </c>
      <c r="B34" s="10" t="s">
        <v>514</v>
      </c>
      <c r="C34" s="11">
        <v>65000.0</v>
      </c>
      <c r="D34" s="12"/>
      <c r="E34" s="11">
        <f t="shared" si="3"/>
        <v>0</v>
      </c>
    </row>
    <row r="35" ht="22.5" customHeight="1">
      <c r="A35" s="9" t="s">
        <v>64</v>
      </c>
      <c r="B35" s="10" t="s">
        <v>515</v>
      </c>
      <c r="C35" s="11">
        <v>65000.0</v>
      </c>
      <c r="D35" s="12">
        <f>D2</f>
        <v>5</v>
      </c>
      <c r="E35" s="11">
        <f t="shared" si="3"/>
        <v>325000</v>
      </c>
    </row>
    <row r="36" ht="22.5" customHeight="1">
      <c r="A36" s="9" t="s">
        <v>66</v>
      </c>
      <c r="B36" s="10" t="s">
        <v>516</v>
      </c>
      <c r="C36" s="11">
        <v>60000.0</v>
      </c>
      <c r="D36" s="12"/>
      <c r="E36" s="11">
        <f t="shared" si="3"/>
        <v>0</v>
      </c>
    </row>
    <row r="37" ht="22.5" customHeight="1">
      <c r="A37" s="9" t="s">
        <v>68</v>
      </c>
      <c r="B37" s="10" t="s">
        <v>517</v>
      </c>
      <c r="C37" s="11">
        <v>60000.0</v>
      </c>
      <c r="D37" s="12"/>
      <c r="E37" s="11">
        <f t="shared" si="3"/>
        <v>0</v>
      </c>
    </row>
    <row r="38" ht="22.5" customHeight="1">
      <c r="A38" s="9" t="s">
        <v>518</v>
      </c>
      <c r="B38" s="10" t="s">
        <v>519</v>
      </c>
      <c r="C38" s="11">
        <v>35000.0</v>
      </c>
      <c r="D38" s="12"/>
      <c r="E38" s="11">
        <f t="shared" si="3"/>
        <v>0</v>
      </c>
    </row>
    <row r="39" ht="22.5" customHeight="1">
      <c r="A39" s="6" t="s">
        <v>520</v>
      </c>
      <c r="B39" s="7"/>
      <c r="C39" s="17"/>
      <c r="D39" s="12"/>
      <c r="E39" s="11"/>
    </row>
    <row r="40" ht="22.5" customHeight="1">
      <c r="A40" s="9" t="s">
        <v>73</v>
      </c>
      <c r="B40" s="10" t="s">
        <v>521</v>
      </c>
      <c r="C40" s="11">
        <v>160000.0</v>
      </c>
      <c r="D40" s="12">
        <f>D2</f>
        <v>5</v>
      </c>
      <c r="E40" s="11">
        <f t="shared" ref="E40:E45" si="4">C40*D40</f>
        <v>800000</v>
      </c>
    </row>
    <row r="41" ht="22.5" customHeight="1">
      <c r="A41" s="9" t="s">
        <v>522</v>
      </c>
      <c r="B41" s="10" t="s">
        <v>523</v>
      </c>
      <c r="C41" s="11">
        <v>500000.0</v>
      </c>
      <c r="D41" s="12">
        <f>ROUNDUP(D2/4,0)</f>
        <v>2</v>
      </c>
      <c r="E41" s="11">
        <f t="shared" si="4"/>
        <v>1000000</v>
      </c>
    </row>
    <row r="42" ht="22.5" customHeight="1">
      <c r="A42" s="6" t="s">
        <v>524</v>
      </c>
      <c r="B42" s="7"/>
      <c r="C42" s="17"/>
      <c r="D42" s="12"/>
      <c r="E42" s="11">
        <f t="shared" si="4"/>
        <v>0</v>
      </c>
    </row>
    <row r="43" ht="22.5" customHeight="1">
      <c r="A43" s="9" t="s">
        <v>525</v>
      </c>
      <c r="B43" s="10" t="s">
        <v>526</v>
      </c>
      <c r="C43" s="11">
        <v>150000.0</v>
      </c>
      <c r="D43" s="12">
        <f>$D$2</f>
        <v>5</v>
      </c>
      <c r="E43" s="11">
        <f t="shared" si="4"/>
        <v>750000</v>
      </c>
    </row>
    <row r="44" ht="22.5" customHeight="1">
      <c r="A44" s="9" t="s">
        <v>80</v>
      </c>
      <c r="B44" s="10" t="s">
        <v>527</v>
      </c>
      <c r="C44" s="11">
        <v>200000.0</v>
      </c>
      <c r="D44" s="12">
        <v>1.0</v>
      </c>
      <c r="E44" s="11">
        <f t="shared" si="4"/>
        <v>200000</v>
      </c>
    </row>
    <row r="45" ht="22.5" customHeight="1">
      <c r="A45" s="9" t="s">
        <v>528</v>
      </c>
      <c r="B45" s="10" t="s">
        <v>529</v>
      </c>
      <c r="C45" s="11">
        <v>50000.0</v>
      </c>
      <c r="D45" s="12">
        <f>$D$2</f>
        <v>5</v>
      </c>
      <c r="E45" s="11">
        <f t="shared" si="4"/>
        <v>250000</v>
      </c>
    </row>
    <row r="46" ht="22.5" customHeight="1">
      <c r="A46" s="6" t="s">
        <v>84</v>
      </c>
      <c r="B46" s="7"/>
      <c r="C46" s="16"/>
      <c r="D46" s="12"/>
      <c r="E46" s="11"/>
    </row>
    <row r="47" ht="22.5" customHeight="1">
      <c r="A47" s="6" t="s">
        <v>530</v>
      </c>
      <c r="B47" s="7"/>
      <c r="C47" s="16"/>
      <c r="D47" s="12"/>
      <c r="E47" s="11"/>
    </row>
    <row r="48" ht="22.5" customHeight="1">
      <c r="A48" s="9" t="s">
        <v>531</v>
      </c>
      <c r="B48" s="10" t="s">
        <v>532</v>
      </c>
      <c r="C48" s="11">
        <v>450000.0</v>
      </c>
      <c r="D48" s="12">
        <f>IF($D$2=1,4, IF($D$2=2,4,0))</f>
        <v>0</v>
      </c>
      <c r="E48" s="11">
        <f t="shared" ref="E48:E52" si="5">C48*D48</f>
        <v>0</v>
      </c>
    </row>
    <row r="49" ht="22.5" customHeight="1">
      <c r="A49" s="9" t="s">
        <v>533</v>
      </c>
      <c r="B49" s="10" t="s">
        <v>534</v>
      </c>
      <c r="C49" s="11">
        <v>550000.0</v>
      </c>
      <c r="D49" s="12">
        <f>IF($D$2=3,4, 0)</f>
        <v>0</v>
      </c>
      <c r="E49" s="11">
        <f t="shared" si="5"/>
        <v>0</v>
      </c>
    </row>
    <row r="50" ht="22.5" customHeight="1">
      <c r="A50" s="9" t="s">
        <v>90</v>
      </c>
      <c r="B50" s="10" t="s">
        <v>535</v>
      </c>
      <c r="C50" s="11">
        <v>1100000.0</v>
      </c>
      <c r="D50" s="12">
        <f>IF((($D$2&gt;=4)*($D$2&lt;=11))=1,4,0)</f>
        <v>4</v>
      </c>
      <c r="E50" s="11">
        <f t="shared" si="5"/>
        <v>4400000</v>
      </c>
    </row>
    <row r="51" ht="22.5" customHeight="1">
      <c r="A51" s="9" t="s">
        <v>536</v>
      </c>
      <c r="B51" s="10" t="s">
        <v>537</v>
      </c>
      <c r="C51" s="11">
        <v>1300000.0</v>
      </c>
      <c r="D51" s="12"/>
      <c r="E51" s="11">
        <f t="shared" si="5"/>
        <v>0</v>
      </c>
    </row>
    <row r="52" ht="22.5" customHeight="1">
      <c r="A52" s="9" t="s">
        <v>94</v>
      </c>
      <c r="B52" s="10" t="s">
        <v>538</v>
      </c>
      <c r="C52" s="11">
        <v>650000.0</v>
      </c>
      <c r="D52" s="12">
        <f>IF((($D$2&gt;=10)*($D$2&lt;=11))=1,1,0)</f>
        <v>0</v>
      </c>
      <c r="E52" s="11">
        <f t="shared" si="5"/>
        <v>0</v>
      </c>
    </row>
    <row r="53" ht="22.5" customHeight="1">
      <c r="A53" s="6" t="s">
        <v>539</v>
      </c>
      <c r="B53" s="7"/>
      <c r="C53" s="16"/>
      <c r="D53" s="12"/>
      <c r="E53" s="11"/>
    </row>
    <row r="54" ht="22.5" customHeight="1">
      <c r="A54" s="9" t="s">
        <v>540</v>
      </c>
      <c r="B54" s="10" t="s">
        <v>541</v>
      </c>
      <c r="C54" s="11">
        <v>200000.0</v>
      </c>
      <c r="D54" s="12">
        <f>IF((($D$2&gt;=10)*($D$2&lt;=11))=1,2,1)</f>
        <v>1</v>
      </c>
      <c r="E54" s="11">
        <f t="shared" ref="E54:E59" si="6">C54*D54</f>
        <v>200000</v>
      </c>
    </row>
    <row r="55" ht="22.5" customHeight="1">
      <c r="A55" s="9" t="s">
        <v>99</v>
      </c>
      <c r="B55" s="10" t="s">
        <v>542</v>
      </c>
      <c r="C55" s="11">
        <v>300000.0</v>
      </c>
      <c r="D55" s="12"/>
      <c r="E55" s="11">
        <f t="shared" si="6"/>
        <v>0</v>
      </c>
    </row>
    <row r="56" ht="22.5" customHeight="1">
      <c r="A56" s="6" t="s">
        <v>543</v>
      </c>
      <c r="B56" s="7"/>
      <c r="C56" s="16"/>
      <c r="D56" s="12"/>
      <c r="E56" s="11">
        <f t="shared" si="6"/>
        <v>0</v>
      </c>
    </row>
    <row r="57" ht="22.5" customHeight="1">
      <c r="A57" s="9" t="s">
        <v>544</v>
      </c>
      <c r="B57" s="10" t="s">
        <v>545</v>
      </c>
      <c r="C57" s="11">
        <v>200000.0</v>
      </c>
      <c r="D57" s="12"/>
      <c r="E57" s="11">
        <f t="shared" si="6"/>
        <v>0</v>
      </c>
    </row>
    <row r="58" ht="22.5" customHeight="1">
      <c r="A58" s="18" t="s">
        <v>104</v>
      </c>
      <c r="B58" s="7"/>
      <c r="C58" s="16"/>
      <c r="D58" s="12"/>
      <c r="E58" s="11">
        <f t="shared" si="6"/>
        <v>0</v>
      </c>
    </row>
    <row r="59" ht="22.5" customHeight="1">
      <c r="A59" s="9" t="s">
        <v>105</v>
      </c>
      <c r="B59" s="10" t="s">
        <v>546</v>
      </c>
      <c r="C59" s="11">
        <v>650000.0</v>
      </c>
      <c r="D59" s="12"/>
      <c r="E59" s="11">
        <f t="shared" si="6"/>
        <v>0</v>
      </c>
    </row>
    <row r="60" ht="22.5" customHeight="1">
      <c r="A60" s="6" t="s">
        <v>107</v>
      </c>
      <c r="B60" s="7"/>
      <c r="C60" s="16"/>
      <c r="D60" s="12"/>
      <c r="E60" s="11"/>
    </row>
    <row r="61" ht="22.5" customHeight="1">
      <c r="A61" s="6" t="s">
        <v>547</v>
      </c>
      <c r="B61" s="7"/>
      <c r="C61" s="16"/>
      <c r="D61" s="12"/>
      <c r="E61" s="11"/>
    </row>
    <row r="62" ht="22.5" customHeight="1">
      <c r="A62" s="9" t="s">
        <v>548</v>
      </c>
      <c r="B62" s="10" t="s">
        <v>549</v>
      </c>
      <c r="C62" s="11">
        <v>250000.0</v>
      </c>
      <c r="D62" s="12">
        <f>IF((($D$2&gt;=1)*($D$2&lt;=3))=1,4,0)</f>
        <v>0</v>
      </c>
      <c r="E62" s="11">
        <f t="shared" ref="E62:E74" si="7">C62*D62</f>
        <v>0</v>
      </c>
    </row>
    <row r="63" ht="22.5" customHeight="1">
      <c r="A63" s="9" t="s">
        <v>111</v>
      </c>
      <c r="B63" s="10" t="s">
        <v>550</v>
      </c>
      <c r="C63" s="11">
        <v>250000.0</v>
      </c>
      <c r="D63" s="12">
        <f>IF((($D$2&gt;=4)*($D$2&lt;=11))=1,4,0)</f>
        <v>4</v>
      </c>
      <c r="E63" s="11">
        <f t="shared" si="7"/>
        <v>1000000</v>
      </c>
    </row>
    <row r="64" ht="22.5" customHeight="1">
      <c r="A64" s="9" t="s">
        <v>113</v>
      </c>
      <c r="B64" s="10" t="s">
        <v>551</v>
      </c>
      <c r="C64" s="11">
        <v>200000.0</v>
      </c>
      <c r="D64" s="12"/>
      <c r="E64" s="11">
        <f t="shared" si="7"/>
        <v>0</v>
      </c>
    </row>
    <row r="65" ht="22.5" customHeight="1">
      <c r="A65" s="6" t="s">
        <v>115</v>
      </c>
      <c r="B65" s="7"/>
      <c r="C65" s="16"/>
      <c r="D65" s="12"/>
      <c r="E65" s="11">
        <f t="shared" si="7"/>
        <v>0</v>
      </c>
    </row>
    <row r="66" ht="22.5" customHeight="1">
      <c r="A66" s="6" t="s">
        <v>552</v>
      </c>
      <c r="B66" s="7"/>
      <c r="C66" s="16"/>
      <c r="D66" s="12"/>
      <c r="E66" s="11">
        <f t="shared" si="7"/>
        <v>0</v>
      </c>
    </row>
    <row r="67" ht="22.5" customHeight="1">
      <c r="A67" s="9" t="s">
        <v>553</v>
      </c>
      <c r="B67" s="10" t="s">
        <v>118</v>
      </c>
      <c r="C67" s="11">
        <v>50000.0</v>
      </c>
      <c r="D67" s="12">
        <f>ROUNDUP(D2*C2*4/24,0)</f>
        <v>4</v>
      </c>
      <c r="E67" s="11">
        <f t="shared" si="7"/>
        <v>200000</v>
      </c>
    </row>
    <row r="68" ht="22.5" customHeight="1">
      <c r="A68" s="9" t="s">
        <v>119</v>
      </c>
      <c r="B68" s="10" t="s">
        <v>120</v>
      </c>
      <c r="C68" s="11">
        <v>100000.0</v>
      </c>
      <c r="D68" s="12">
        <v>1.0</v>
      </c>
      <c r="E68" s="11">
        <f t="shared" si="7"/>
        <v>100000</v>
      </c>
    </row>
    <row r="69" ht="22.5" customHeight="1">
      <c r="A69" s="9" t="s">
        <v>554</v>
      </c>
      <c r="B69" s="10" t="s">
        <v>555</v>
      </c>
      <c r="C69" s="11">
        <v>60000.0</v>
      </c>
      <c r="D69" s="12">
        <f>D2</f>
        <v>5</v>
      </c>
      <c r="E69" s="11">
        <f t="shared" si="7"/>
        <v>300000</v>
      </c>
    </row>
    <row r="70" ht="22.5" customHeight="1">
      <c r="A70" s="6" t="s">
        <v>556</v>
      </c>
      <c r="B70" s="7"/>
      <c r="C70" s="19"/>
      <c r="D70" s="12"/>
      <c r="E70" s="11">
        <f t="shared" si="7"/>
        <v>0</v>
      </c>
    </row>
    <row r="71" ht="22.5" customHeight="1">
      <c r="A71" s="9" t="s">
        <v>557</v>
      </c>
      <c r="B71" s="10" t="s">
        <v>558</v>
      </c>
      <c r="C71" s="12">
        <v>2000000.0</v>
      </c>
      <c r="D71" s="12"/>
      <c r="E71" s="11">
        <f t="shared" si="7"/>
        <v>0</v>
      </c>
    </row>
    <row r="72" ht="22.5" customHeight="1">
      <c r="A72" s="6" t="s">
        <v>559</v>
      </c>
      <c r="B72" s="7"/>
      <c r="C72" s="19"/>
      <c r="D72" s="12"/>
      <c r="E72" s="11">
        <f t="shared" si="7"/>
        <v>0</v>
      </c>
    </row>
    <row r="73" ht="22.5" customHeight="1">
      <c r="A73" s="9" t="s">
        <v>560</v>
      </c>
      <c r="B73" s="10" t="s">
        <v>561</v>
      </c>
      <c r="C73" s="12">
        <v>16000.0</v>
      </c>
      <c r="D73" s="12">
        <f>D2</f>
        <v>5</v>
      </c>
      <c r="E73" s="11">
        <f t="shared" si="7"/>
        <v>80000</v>
      </c>
    </row>
    <row r="74" ht="22.5" customHeight="1">
      <c r="A74" s="9" t="s">
        <v>129</v>
      </c>
      <c r="B74" s="10" t="s">
        <v>562</v>
      </c>
      <c r="C74" s="12">
        <v>100000.0</v>
      </c>
      <c r="D74" s="12"/>
      <c r="E74" s="11">
        <f t="shared" si="7"/>
        <v>0</v>
      </c>
    </row>
    <row r="75" ht="30.0" customHeight="1">
      <c r="A75" s="20" t="s">
        <v>131</v>
      </c>
      <c r="B75" s="21"/>
      <c r="C75" s="5"/>
      <c r="D75" s="12"/>
      <c r="E75" s="22">
        <f>SUM(E7:E74)</f>
        <v>14090000</v>
      </c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</row>
    <row r="76" ht="36.0" customHeight="1">
      <c r="A76" s="20" t="s">
        <v>132</v>
      </c>
      <c r="B76" s="8"/>
      <c r="C76" s="8"/>
      <c r="D76" s="8"/>
      <c r="E76" s="22">
        <f>E75/D2</f>
        <v>2818000</v>
      </c>
    </row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fitToHeight="0"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93.86"/>
    <col customWidth="1" min="2" max="2" width="20.57"/>
    <col customWidth="1" min="3" max="3" width="29.14"/>
    <col customWidth="1" min="4" max="4" width="21.57"/>
    <col customWidth="1" min="5" max="5" width="25.43"/>
    <col customWidth="1" min="6" max="7" width="9.0"/>
    <col customWidth="1" min="8" max="8" width="7.0"/>
    <col customWidth="1" min="9" max="10" width="20.86"/>
    <col customWidth="1" min="11" max="11" width="18.57"/>
    <col customWidth="1" min="12" max="12" width="20.43"/>
    <col customWidth="1" min="13" max="13" width="18.57"/>
    <col customWidth="1" min="14" max="14" width="27.43"/>
    <col customWidth="1" min="15" max="26" width="9.0"/>
  </cols>
  <sheetData>
    <row r="1" ht="25.5" customHeight="1">
      <c r="A1" s="1" t="s">
        <v>0</v>
      </c>
      <c r="B1" s="1" t="s">
        <v>1</v>
      </c>
      <c r="C1" s="1" t="s">
        <v>2</v>
      </c>
      <c r="D1" s="1" t="s">
        <v>3</v>
      </c>
    </row>
    <row r="2" ht="27.75" customHeight="1">
      <c r="A2" s="2" t="s">
        <v>4</v>
      </c>
      <c r="B2" s="2">
        <v>34.0</v>
      </c>
      <c r="C2" s="2">
        <v>4.0</v>
      </c>
      <c r="D2" s="3">
        <v>6.0</v>
      </c>
    </row>
    <row r="3" ht="27.75" customHeight="1">
      <c r="A3" s="4"/>
      <c r="B3" s="4"/>
      <c r="C3" s="4"/>
    </row>
    <row r="4" ht="35.25" customHeight="1">
      <c r="A4" s="5" t="s">
        <v>563</v>
      </c>
      <c r="B4" s="5" t="s">
        <v>564</v>
      </c>
      <c r="C4" s="5" t="s">
        <v>565</v>
      </c>
      <c r="D4" s="5" t="s">
        <v>8</v>
      </c>
      <c r="E4" s="5" t="s">
        <v>9</v>
      </c>
    </row>
    <row r="5" ht="22.5" customHeight="1">
      <c r="A5" s="6" t="s">
        <v>566</v>
      </c>
      <c r="B5" s="7"/>
      <c r="C5" s="7"/>
      <c r="D5" s="8"/>
      <c r="E5" s="8"/>
    </row>
    <row r="6" ht="22.5" customHeight="1">
      <c r="A6" s="6" t="s">
        <v>567</v>
      </c>
      <c r="B6" s="7"/>
      <c r="C6" s="7"/>
      <c r="D6" s="8"/>
      <c r="E6" s="8"/>
    </row>
    <row r="7" ht="22.5" customHeight="1">
      <c r="A7" s="9" t="s">
        <v>12</v>
      </c>
      <c r="B7" s="10" t="s">
        <v>568</v>
      </c>
      <c r="C7" s="11">
        <v>337500.0</v>
      </c>
      <c r="D7" s="12">
        <f>ROUNDUP($D$2/2,0)</f>
        <v>3</v>
      </c>
      <c r="E7" s="11">
        <f t="shared" ref="E7:E11" si="1">C7*D7</f>
        <v>1012500</v>
      </c>
    </row>
    <row r="8" ht="22.5" customHeight="1">
      <c r="A8" s="9" t="s">
        <v>14</v>
      </c>
      <c r="B8" s="10" t="s">
        <v>569</v>
      </c>
      <c r="C8" s="11">
        <v>375000.0</v>
      </c>
      <c r="D8" s="12"/>
      <c r="E8" s="11">
        <f t="shared" si="1"/>
        <v>0</v>
      </c>
      <c r="H8" s="13"/>
      <c r="I8" s="14"/>
      <c r="J8" s="14"/>
      <c r="K8" s="15"/>
      <c r="L8" s="15"/>
      <c r="M8" s="15"/>
      <c r="N8" s="15"/>
    </row>
    <row r="9" ht="22.5" customHeight="1">
      <c r="A9" s="9" t="s">
        <v>16</v>
      </c>
      <c r="B9" s="10" t="s">
        <v>570</v>
      </c>
      <c r="C9" s="11">
        <v>412500.0</v>
      </c>
      <c r="D9" s="12"/>
      <c r="E9" s="11">
        <f t="shared" si="1"/>
        <v>0</v>
      </c>
      <c r="H9" s="13"/>
      <c r="I9" s="14"/>
      <c r="J9" s="14"/>
      <c r="K9" s="15"/>
      <c r="L9" s="15"/>
      <c r="M9" s="15"/>
      <c r="N9" s="15"/>
    </row>
    <row r="10" ht="22.5" customHeight="1">
      <c r="A10" s="9" t="s">
        <v>18</v>
      </c>
      <c r="B10" s="10" t="s">
        <v>571</v>
      </c>
      <c r="C10" s="11">
        <v>487500.0</v>
      </c>
      <c r="D10" s="12"/>
      <c r="E10" s="11">
        <f t="shared" si="1"/>
        <v>0</v>
      </c>
      <c r="H10" s="13"/>
      <c r="I10" s="14"/>
      <c r="J10" s="14"/>
      <c r="K10" s="15"/>
      <c r="L10" s="15"/>
      <c r="M10" s="15"/>
      <c r="N10" s="15"/>
    </row>
    <row r="11" ht="22.5" customHeight="1">
      <c r="A11" s="9" t="s">
        <v>20</v>
      </c>
      <c r="B11" s="10" t="s">
        <v>572</v>
      </c>
      <c r="C11" s="11">
        <v>562500.0</v>
      </c>
      <c r="D11" s="12"/>
      <c r="E11" s="11">
        <f t="shared" si="1"/>
        <v>0</v>
      </c>
      <c r="H11" s="13"/>
      <c r="I11" s="14"/>
      <c r="J11" s="14"/>
      <c r="K11" s="15"/>
      <c r="L11" s="15"/>
      <c r="M11" s="15"/>
      <c r="N11" s="15"/>
    </row>
    <row r="12" ht="22.5" customHeight="1">
      <c r="A12" s="6" t="s">
        <v>573</v>
      </c>
      <c r="B12" s="7"/>
      <c r="C12" s="16"/>
      <c r="D12" s="12"/>
      <c r="E12" s="11"/>
    </row>
    <row r="13" ht="22.5" customHeight="1">
      <c r="A13" s="9" t="s">
        <v>23</v>
      </c>
      <c r="B13" s="10" t="s">
        <v>574</v>
      </c>
      <c r="C13" s="11">
        <v>750000.0</v>
      </c>
      <c r="D13" s="12">
        <f>ROUNDUP($D$2/2,0)</f>
        <v>3</v>
      </c>
      <c r="E13" s="11">
        <f t="shared" ref="E13:E27" si="2">C13*D13</f>
        <v>2250000</v>
      </c>
    </row>
    <row r="14" ht="22.5" customHeight="1">
      <c r="A14" s="9" t="s">
        <v>25</v>
      </c>
      <c r="B14" s="10" t="s">
        <v>575</v>
      </c>
      <c r="C14" s="11">
        <v>950000.0</v>
      </c>
      <c r="D14" s="12"/>
      <c r="E14" s="11">
        <f t="shared" si="2"/>
        <v>0</v>
      </c>
    </row>
    <row r="15" ht="22.5" customHeight="1">
      <c r="A15" s="9" t="s">
        <v>27</v>
      </c>
      <c r="B15" s="10" t="s">
        <v>576</v>
      </c>
      <c r="C15" s="11">
        <v>300000.0</v>
      </c>
      <c r="D15" s="12"/>
      <c r="E15" s="11">
        <f t="shared" si="2"/>
        <v>0</v>
      </c>
    </row>
    <row r="16" ht="22.5" customHeight="1">
      <c r="A16" s="6" t="s">
        <v>577</v>
      </c>
      <c r="B16" s="7"/>
      <c r="C16" s="16"/>
      <c r="D16" s="12"/>
      <c r="E16" s="11">
        <f t="shared" si="2"/>
        <v>0</v>
      </c>
    </row>
    <row r="17" ht="22.5" customHeight="1">
      <c r="A17" s="9" t="s">
        <v>30</v>
      </c>
      <c r="B17" s="10" t="s">
        <v>578</v>
      </c>
      <c r="C17" s="11">
        <v>467500.0</v>
      </c>
      <c r="D17" s="12">
        <f>ROUNDUP($D$2/2,0)</f>
        <v>3</v>
      </c>
      <c r="E17" s="11">
        <f t="shared" si="2"/>
        <v>1402500</v>
      </c>
    </row>
    <row r="18" ht="22.5" customHeight="1">
      <c r="A18" s="9" t="s">
        <v>32</v>
      </c>
      <c r="B18" s="10" t="s">
        <v>579</v>
      </c>
      <c r="C18" s="11">
        <v>200000.0</v>
      </c>
      <c r="D18" s="12"/>
      <c r="E18" s="11">
        <f t="shared" si="2"/>
        <v>0</v>
      </c>
    </row>
    <row r="19" ht="22.5" customHeight="1">
      <c r="A19" s="9" t="s">
        <v>34</v>
      </c>
      <c r="B19" s="10" t="s">
        <v>580</v>
      </c>
      <c r="C19" s="11">
        <v>260000.0</v>
      </c>
      <c r="D19" s="8"/>
      <c r="E19" s="11">
        <f t="shared" si="2"/>
        <v>0</v>
      </c>
    </row>
    <row r="20" ht="22.5" customHeight="1">
      <c r="A20" s="9" t="s">
        <v>36</v>
      </c>
      <c r="B20" s="10" t="s">
        <v>581</v>
      </c>
      <c r="C20" s="11">
        <v>300000.0</v>
      </c>
      <c r="D20" s="12"/>
      <c r="E20" s="11">
        <f t="shared" si="2"/>
        <v>0</v>
      </c>
    </row>
    <row r="21" ht="22.5" customHeight="1">
      <c r="A21" s="9" t="s">
        <v>582</v>
      </c>
      <c r="B21" s="10" t="s">
        <v>583</v>
      </c>
      <c r="C21" s="11">
        <v>316000.0</v>
      </c>
      <c r="D21" s="12"/>
      <c r="E21" s="11">
        <f t="shared" si="2"/>
        <v>0</v>
      </c>
    </row>
    <row r="22" ht="22.5" customHeight="1">
      <c r="A22" s="9" t="s">
        <v>584</v>
      </c>
      <c r="B22" s="10" t="s">
        <v>585</v>
      </c>
      <c r="C22" s="11">
        <v>380000.0</v>
      </c>
      <c r="D22" s="12"/>
      <c r="E22" s="11">
        <f t="shared" si="2"/>
        <v>0</v>
      </c>
    </row>
    <row r="23" ht="22.5" customHeight="1">
      <c r="A23" s="9" t="s">
        <v>586</v>
      </c>
      <c r="B23" s="10" t="s">
        <v>587</v>
      </c>
      <c r="C23" s="11">
        <v>440000.0</v>
      </c>
      <c r="D23" s="12"/>
      <c r="E23" s="11">
        <f t="shared" si="2"/>
        <v>0</v>
      </c>
    </row>
    <row r="24" ht="22.5" customHeight="1">
      <c r="A24" s="9" t="s">
        <v>44</v>
      </c>
      <c r="B24" s="10" t="s">
        <v>588</v>
      </c>
      <c r="C24" s="11">
        <v>572000.0</v>
      </c>
      <c r="D24" s="12"/>
      <c r="E24" s="11">
        <f t="shared" si="2"/>
        <v>0</v>
      </c>
    </row>
    <row r="25" ht="22.5" customHeight="1">
      <c r="A25" s="9" t="s">
        <v>46</v>
      </c>
      <c r="B25" s="10" t="s">
        <v>589</v>
      </c>
      <c r="C25" s="11">
        <v>617000.0</v>
      </c>
      <c r="D25" s="12"/>
      <c r="E25" s="11">
        <f t="shared" si="2"/>
        <v>0</v>
      </c>
    </row>
    <row r="26" ht="22.5" customHeight="1">
      <c r="A26" s="9" t="s">
        <v>48</v>
      </c>
      <c r="B26" s="10" t="s">
        <v>590</v>
      </c>
      <c r="C26" s="11">
        <v>472000.0</v>
      </c>
      <c r="D26" s="12"/>
      <c r="E26" s="11">
        <f t="shared" si="2"/>
        <v>0</v>
      </c>
    </row>
    <row r="27" ht="22.5" customHeight="1">
      <c r="A27" s="9" t="s">
        <v>50</v>
      </c>
      <c r="B27" s="10" t="s">
        <v>591</v>
      </c>
      <c r="C27" s="11">
        <v>517000.0</v>
      </c>
      <c r="D27" s="12"/>
      <c r="E27" s="11">
        <f t="shared" si="2"/>
        <v>0</v>
      </c>
    </row>
    <row r="28" ht="22.5" customHeight="1">
      <c r="A28" s="6" t="s">
        <v>592</v>
      </c>
      <c r="B28" s="7"/>
      <c r="C28" s="16"/>
      <c r="D28" s="12"/>
      <c r="E28" s="11"/>
    </row>
    <row r="29" ht="22.5" customHeight="1">
      <c r="A29" s="6" t="s">
        <v>593</v>
      </c>
      <c r="B29" s="7"/>
      <c r="C29" s="16"/>
      <c r="D29" s="12"/>
      <c r="E29" s="11"/>
    </row>
    <row r="30" ht="22.5" customHeight="1">
      <c r="A30" s="9" t="s">
        <v>54</v>
      </c>
      <c r="B30" s="10" t="s">
        <v>594</v>
      </c>
      <c r="C30" s="11">
        <v>75000.0</v>
      </c>
      <c r="D30" s="12">
        <f>D2</f>
        <v>6</v>
      </c>
      <c r="E30" s="11">
        <f t="shared" ref="E30:E38" si="3">C30*D30</f>
        <v>450000</v>
      </c>
    </row>
    <row r="31" ht="22.5" customHeight="1">
      <c r="A31" s="9" t="s">
        <v>595</v>
      </c>
      <c r="B31" s="10" t="s">
        <v>596</v>
      </c>
      <c r="C31" s="11">
        <v>55000.0</v>
      </c>
      <c r="D31" s="12"/>
      <c r="E31" s="11">
        <f t="shared" si="3"/>
        <v>0</v>
      </c>
    </row>
    <row r="32" ht="22.5" customHeight="1">
      <c r="A32" s="9" t="s">
        <v>58</v>
      </c>
      <c r="B32" s="10" t="s">
        <v>597</v>
      </c>
      <c r="C32" s="11">
        <v>25000.0</v>
      </c>
      <c r="D32" s="12">
        <f>D2</f>
        <v>6</v>
      </c>
      <c r="E32" s="11">
        <f t="shared" si="3"/>
        <v>150000</v>
      </c>
    </row>
    <row r="33" ht="22.5" customHeight="1">
      <c r="A33" s="9" t="s">
        <v>60</v>
      </c>
      <c r="B33" s="10" t="s">
        <v>598</v>
      </c>
      <c r="C33" s="11">
        <v>250000.0</v>
      </c>
      <c r="D33" s="12">
        <v>1.0</v>
      </c>
      <c r="E33" s="11">
        <f t="shared" si="3"/>
        <v>250000</v>
      </c>
    </row>
    <row r="34" ht="22.5" customHeight="1">
      <c r="A34" s="9" t="s">
        <v>62</v>
      </c>
      <c r="B34" s="10" t="s">
        <v>599</v>
      </c>
      <c r="C34" s="11">
        <v>65000.0</v>
      </c>
      <c r="D34" s="12"/>
      <c r="E34" s="11">
        <f t="shared" si="3"/>
        <v>0</v>
      </c>
    </row>
    <row r="35" ht="22.5" customHeight="1">
      <c r="A35" s="9" t="s">
        <v>64</v>
      </c>
      <c r="B35" s="10" t="s">
        <v>600</v>
      </c>
      <c r="C35" s="11">
        <v>65000.0</v>
      </c>
      <c r="D35" s="12">
        <f>D2</f>
        <v>6</v>
      </c>
      <c r="E35" s="11">
        <f t="shared" si="3"/>
        <v>390000</v>
      </c>
    </row>
    <row r="36" ht="22.5" customHeight="1">
      <c r="A36" s="9" t="s">
        <v>66</v>
      </c>
      <c r="B36" s="10" t="s">
        <v>601</v>
      </c>
      <c r="C36" s="11">
        <v>60000.0</v>
      </c>
      <c r="D36" s="12"/>
      <c r="E36" s="11">
        <f t="shared" si="3"/>
        <v>0</v>
      </c>
    </row>
    <row r="37" ht="22.5" customHeight="1">
      <c r="A37" s="9" t="s">
        <v>68</v>
      </c>
      <c r="B37" s="10" t="s">
        <v>602</v>
      </c>
      <c r="C37" s="11">
        <v>60000.0</v>
      </c>
      <c r="D37" s="12"/>
      <c r="E37" s="11">
        <f t="shared" si="3"/>
        <v>0</v>
      </c>
    </row>
    <row r="38" ht="22.5" customHeight="1">
      <c r="A38" s="9" t="s">
        <v>603</v>
      </c>
      <c r="B38" s="10" t="s">
        <v>604</v>
      </c>
      <c r="C38" s="11">
        <v>35000.0</v>
      </c>
      <c r="D38" s="12"/>
      <c r="E38" s="11">
        <f t="shared" si="3"/>
        <v>0</v>
      </c>
    </row>
    <row r="39" ht="22.5" customHeight="1">
      <c r="A39" s="6" t="s">
        <v>605</v>
      </c>
      <c r="B39" s="7"/>
      <c r="C39" s="17"/>
      <c r="D39" s="12"/>
      <c r="E39" s="11"/>
    </row>
    <row r="40" ht="22.5" customHeight="1">
      <c r="A40" s="9" t="s">
        <v>73</v>
      </c>
      <c r="B40" s="10" t="s">
        <v>606</v>
      </c>
      <c r="C40" s="11">
        <v>160000.0</v>
      </c>
      <c r="D40" s="12">
        <f>D2</f>
        <v>6</v>
      </c>
      <c r="E40" s="11">
        <f t="shared" ref="E40:E45" si="4">C40*D40</f>
        <v>960000</v>
      </c>
    </row>
    <row r="41" ht="22.5" customHeight="1">
      <c r="A41" s="9" t="s">
        <v>607</v>
      </c>
      <c r="B41" s="10" t="s">
        <v>608</v>
      </c>
      <c r="C41" s="11">
        <v>500000.0</v>
      </c>
      <c r="D41" s="12">
        <f>ROUNDUP(D2/4,0)</f>
        <v>2</v>
      </c>
      <c r="E41" s="11">
        <f t="shared" si="4"/>
        <v>1000000</v>
      </c>
    </row>
    <row r="42" ht="22.5" customHeight="1">
      <c r="A42" s="6" t="s">
        <v>609</v>
      </c>
      <c r="B42" s="7"/>
      <c r="C42" s="17"/>
      <c r="D42" s="12"/>
      <c r="E42" s="11">
        <f t="shared" si="4"/>
        <v>0</v>
      </c>
    </row>
    <row r="43" ht="22.5" customHeight="1">
      <c r="A43" s="9" t="s">
        <v>610</v>
      </c>
      <c r="B43" s="10" t="s">
        <v>611</v>
      </c>
      <c r="C43" s="11">
        <v>150000.0</v>
      </c>
      <c r="D43" s="12">
        <f>$D$2</f>
        <v>6</v>
      </c>
      <c r="E43" s="11">
        <f t="shared" si="4"/>
        <v>900000</v>
      </c>
    </row>
    <row r="44" ht="22.5" customHeight="1">
      <c r="A44" s="9" t="s">
        <v>80</v>
      </c>
      <c r="B44" s="10" t="s">
        <v>612</v>
      </c>
      <c r="C44" s="11">
        <v>200000.0</v>
      </c>
      <c r="D44" s="12">
        <v>1.0</v>
      </c>
      <c r="E44" s="11">
        <f t="shared" si="4"/>
        <v>200000</v>
      </c>
    </row>
    <row r="45" ht="22.5" customHeight="1">
      <c r="A45" s="9" t="s">
        <v>613</v>
      </c>
      <c r="B45" s="10" t="s">
        <v>614</v>
      </c>
      <c r="C45" s="11">
        <v>50000.0</v>
      </c>
      <c r="D45" s="12">
        <f>$D$2</f>
        <v>6</v>
      </c>
      <c r="E45" s="11">
        <f t="shared" si="4"/>
        <v>300000</v>
      </c>
    </row>
    <row r="46" ht="22.5" customHeight="1">
      <c r="A46" s="6" t="s">
        <v>84</v>
      </c>
      <c r="B46" s="7"/>
      <c r="C46" s="16"/>
      <c r="D46" s="12"/>
      <c r="E46" s="11"/>
    </row>
    <row r="47" ht="22.5" customHeight="1">
      <c r="A47" s="6" t="s">
        <v>615</v>
      </c>
      <c r="B47" s="7"/>
      <c r="C47" s="16"/>
      <c r="D47" s="12"/>
      <c r="E47" s="11"/>
    </row>
    <row r="48" ht="22.5" customHeight="1">
      <c r="A48" s="9" t="s">
        <v>616</v>
      </c>
      <c r="B48" s="10" t="s">
        <v>617</v>
      </c>
      <c r="C48" s="11">
        <v>450000.0</v>
      </c>
      <c r="D48" s="12">
        <f>IF($D$2=1,4, IF($D$2=2,4,0))</f>
        <v>0</v>
      </c>
      <c r="E48" s="11">
        <f t="shared" ref="E48:E52" si="5">C48*D48</f>
        <v>0</v>
      </c>
    </row>
    <row r="49" ht="22.5" customHeight="1">
      <c r="A49" s="9" t="s">
        <v>618</v>
      </c>
      <c r="B49" s="10" t="s">
        <v>619</v>
      </c>
      <c r="C49" s="11">
        <v>550000.0</v>
      </c>
      <c r="D49" s="12">
        <f>IF($D$2=3,4, 0)</f>
        <v>0</v>
      </c>
      <c r="E49" s="11">
        <f t="shared" si="5"/>
        <v>0</v>
      </c>
    </row>
    <row r="50" ht="22.5" customHeight="1">
      <c r="A50" s="9" t="s">
        <v>90</v>
      </c>
      <c r="B50" s="10" t="s">
        <v>620</v>
      </c>
      <c r="C50" s="11">
        <v>1100000.0</v>
      </c>
      <c r="D50" s="12">
        <f>IF((($D$2&gt;=4)*($D$2&lt;=11))=1,4,0)</f>
        <v>4</v>
      </c>
      <c r="E50" s="11">
        <f t="shared" si="5"/>
        <v>4400000</v>
      </c>
    </row>
    <row r="51" ht="22.5" customHeight="1">
      <c r="A51" s="9" t="s">
        <v>621</v>
      </c>
      <c r="B51" s="10" t="s">
        <v>622</v>
      </c>
      <c r="C51" s="11">
        <v>1300000.0</v>
      </c>
      <c r="D51" s="12"/>
      <c r="E51" s="11">
        <f t="shared" si="5"/>
        <v>0</v>
      </c>
    </row>
    <row r="52" ht="22.5" customHeight="1">
      <c r="A52" s="9" t="s">
        <v>94</v>
      </c>
      <c r="B52" s="10" t="s">
        <v>623</v>
      </c>
      <c r="C52" s="11">
        <v>650000.0</v>
      </c>
      <c r="D52" s="12">
        <f>IF((($D$2&gt;=10)*($D$2&lt;=11))=1,1,0)</f>
        <v>0</v>
      </c>
      <c r="E52" s="11">
        <f t="shared" si="5"/>
        <v>0</v>
      </c>
    </row>
    <row r="53" ht="22.5" customHeight="1">
      <c r="A53" s="6" t="s">
        <v>624</v>
      </c>
      <c r="B53" s="7"/>
      <c r="C53" s="16"/>
      <c r="D53" s="12"/>
      <c r="E53" s="11"/>
    </row>
    <row r="54" ht="22.5" customHeight="1">
      <c r="A54" s="9" t="s">
        <v>625</v>
      </c>
      <c r="B54" s="10" t="s">
        <v>626</v>
      </c>
      <c r="C54" s="11">
        <v>200000.0</v>
      </c>
      <c r="D54" s="12">
        <f>IF((($D$2&gt;=10)*($D$2&lt;=11))=1,2,1)</f>
        <v>1</v>
      </c>
      <c r="E54" s="11">
        <f t="shared" ref="E54:E59" si="6">C54*D54</f>
        <v>200000</v>
      </c>
    </row>
    <row r="55" ht="22.5" customHeight="1">
      <c r="A55" s="9" t="s">
        <v>99</v>
      </c>
      <c r="B55" s="10" t="s">
        <v>627</v>
      </c>
      <c r="C55" s="11">
        <v>300000.0</v>
      </c>
      <c r="D55" s="12"/>
      <c r="E55" s="11">
        <f t="shared" si="6"/>
        <v>0</v>
      </c>
    </row>
    <row r="56" ht="22.5" customHeight="1">
      <c r="A56" s="6" t="s">
        <v>628</v>
      </c>
      <c r="B56" s="7"/>
      <c r="C56" s="16"/>
      <c r="D56" s="12"/>
      <c r="E56" s="11">
        <f t="shared" si="6"/>
        <v>0</v>
      </c>
    </row>
    <row r="57" ht="22.5" customHeight="1">
      <c r="A57" s="9" t="s">
        <v>629</v>
      </c>
      <c r="B57" s="10" t="s">
        <v>630</v>
      </c>
      <c r="C57" s="11">
        <v>200000.0</v>
      </c>
      <c r="D57" s="12"/>
      <c r="E57" s="11">
        <f t="shared" si="6"/>
        <v>0</v>
      </c>
    </row>
    <row r="58" ht="22.5" customHeight="1">
      <c r="A58" s="18" t="s">
        <v>104</v>
      </c>
      <c r="B58" s="7"/>
      <c r="C58" s="16"/>
      <c r="D58" s="12"/>
      <c r="E58" s="11">
        <f t="shared" si="6"/>
        <v>0</v>
      </c>
    </row>
    <row r="59" ht="22.5" customHeight="1">
      <c r="A59" s="9" t="s">
        <v>105</v>
      </c>
      <c r="B59" s="10" t="s">
        <v>631</v>
      </c>
      <c r="C59" s="11">
        <v>650000.0</v>
      </c>
      <c r="D59" s="12"/>
      <c r="E59" s="11">
        <f t="shared" si="6"/>
        <v>0</v>
      </c>
    </row>
    <row r="60" ht="22.5" customHeight="1">
      <c r="A60" s="6" t="s">
        <v>107</v>
      </c>
      <c r="B60" s="7"/>
      <c r="C60" s="16"/>
      <c r="D60" s="12"/>
      <c r="E60" s="11"/>
    </row>
    <row r="61" ht="22.5" customHeight="1">
      <c r="A61" s="6" t="s">
        <v>632</v>
      </c>
      <c r="B61" s="7"/>
      <c r="C61" s="16"/>
      <c r="D61" s="12"/>
      <c r="E61" s="11"/>
    </row>
    <row r="62" ht="22.5" customHeight="1">
      <c r="A62" s="9" t="s">
        <v>633</v>
      </c>
      <c r="B62" s="10" t="s">
        <v>634</v>
      </c>
      <c r="C62" s="11">
        <v>250000.0</v>
      </c>
      <c r="D62" s="12">
        <f>IF((($D$2&gt;=1)*($D$2&lt;=3))=1,4,0)</f>
        <v>0</v>
      </c>
      <c r="E62" s="11">
        <f t="shared" ref="E62:E74" si="7">C62*D62</f>
        <v>0</v>
      </c>
    </row>
    <row r="63" ht="22.5" customHeight="1">
      <c r="A63" s="9" t="s">
        <v>111</v>
      </c>
      <c r="B63" s="10" t="s">
        <v>635</v>
      </c>
      <c r="C63" s="11">
        <v>250000.0</v>
      </c>
      <c r="D63" s="12">
        <f>IF((($D$2&gt;=4)*($D$2&lt;=11))=1,4,0)</f>
        <v>4</v>
      </c>
      <c r="E63" s="11">
        <f t="shared" si="7"/>
        <v>1000000</v>
      </c>
    </row>
    <row r="64" ht="22.5" customHeight="1">
      <c r="A64" s="9" t="s">
        <v>113</v>
      </c>
      <c r="B64" s="10" t="s">
        <v>636</v>
      </c>
      <c r="C64" s="11">
        <v>200000.0</v>
      </c>
      <c r="D64" s="12"/>
      <c r="E64" s="11">
        <f t="shared" si="7"/>
        <v>0</v>
      </c>
    </row>
    <row r="65" ht="22.5" customHeight="1">
      <c r="A65" s="6" t="s">
        <v>115</v>
      </c>
      <c r="B65" s="7"/>
      <c r="C65" s="16"/>
      <c r="D65" s="12"/>
      <c r="E65" s="11">
        <f t="shared" si="7"/>
        <v>0</v>
      </c>
    </row>
    <row r="66" ht="22.5" customHeight="1">
      <c r="A66" s="6" t="s">
        <v>637</v>
      </c>
      <c r="B66" s="7"/>
      <c r="C66" s="16"/>
      <c r="D66" s="12"/>
      <c r="E66" s="11">
        <f t="shared" si="7"/>
        <v>0</v>
      </c>
    </row>
    <row r="67" ht="22.5" customHeight="1">
      <c r="A67" s="9" t="s">
        <v>638</v>
      </c>
      <c r="B67" s="10" t="s">
        <v>118</v>
      </c>
      <c r="C67" s="11">
        <v>50000.0</v>
      </c>
      <c r="D67" s="12">
        <f>ROUNDUP(D2*C2*4/24,0)</f>
        <v>4</v>
      </c>
      <c r="E67" s="11">
        <f t="shared" si="7"/>
        <v>200000</v>
      </c>
    </row>
    <row r="68" ht="22.5" customHeight="1">
      <c r="A68" s="9" t="s">
        <v>119</v>
      </c>
      <c r="B68" s="10" t="s">
        <v>120</v>
      </c>
      <c r="C68" s="11">
        <v>100000.0</v>
      </c>
      <c r="D68" s="12">
        <v>1.0</v>
      </c>
      <c r="E68" s="11">
        <f t="shared" si="7"/>
        <v>100000</v>
      </c>
    </row>
    <row r="69" ht="22.5" customHeight="1">
      <c r="A69" s="9" t="s">
        <v>639</v>
      </c>
      <c r="B69" s="10" t="s">
        <v>640</v>
      </c>
      <c r="C69" s="11">
        <v>60000.0</v>
      </c>
      <c r="D69" s="12">
        <f>D2</f>
        <v>6</v>
      </c>
      <c r="E69" s="11">
        <f t="shared" si="7"/>
        <v>360000</v>
      </c>
    </row>
    <row r="70" ht="22.5" customHeight="1">
      <c r="A70" s="6" t="s">
        <v>641</v>
      </c>
      <c r="B70" s="7"/>
      <c r="C70" s="19"/>
      <c r="D70" s="12"/>
      <c r="E70" s="11">
        <f t="shared" si="7"/>
        <v>0</v>
      </c>
    </row>
    <row r="71" ht="22.5" customHeight="1">
      <c r="A71" s="9" t="s">
        <v>642</v>
      </c>
      <c r="B71" s="10" t="s">
        <v>643</v>
      </c>
      <c r="C71" s="12">
        <v>2000000.0</v>
      </c>
      <c r="D71" s="12"/>
      <c r="E71" s="11">
        <f t="shared" si="7"/>
        <v>0</v>
      </c>
    </row>
    <row r="72" ht="22.5" customHeight="1">
      <c r="A72" s="6" t="s">
        <v>644</v>
      </c>
      <c r="B72" s="7"/>
      <c r="C72" s="19"/>
      <c r="D72" s="12"/>
      <c r="E72" s="11">
        <f t="shared" si="7"/>
        <v>0</v>
      </c>
    </row>
    <row r="73" ht="22.5" customHeight="1">
      <c r="A73" s="9" t="s">
        <v>645</v>
      </c>
      <c r="B73" s="10" t="s">
        <v>646</v>
      </c>
      <c r="C73" s="12">
        <v>16000.0</v>
      </c>
      <c r="D73" s="12">
        <f>D2</f>
        <v>6</v>
      </c>
      <c r="E73" s="11">
        <f t="shared" si="7"/>
        <v>96000</v>
      </c>
    </row>
    <row r="74" ht="22.5" customHeight="1">
      <c r="A74" s="9" t="s">
        <v>129</v>
      </c>
      <c r="B74" s="10" t="s">
        <v>647</v>
      </c>
      <c r="C74" s="12">
        <v>100000.0</v>
      </c>
      <c r="D74" s="12"/>
      <c r="E74" s="11">
        <f t="shared" si="7"/>
        <v>0</v>
      </c>
    </row>
    <row r="75" ht="30.0" customHeight="1">
      <c r="A75" s="20" t="s">
        <v>131</v>
      </c>
      <c r="B75" s="21"/>
      <c r="C75" s="5"/>
      <c r="D75" s="12"/>
      <c r="E75" s="22">
        <f>SUM(E7:E74)</f>
        <v>15621000</v>
      </c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</row>
    <row r="76" ht="36.0" customHeight="1">
      <c r="A76" s="20" t="s">
        <v>132</v>
      </c>
      <c r="B76" s="8"/>
      <c r="C76" s="8"/>
      <c r="D76" s="8"/>
      <c r="E76" s="22">
        <f>E75/D2</f>
        <v>2603500</v>
      </c>
    </row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fitToHeight="0"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93.86"/>
    <col customWidth="1" min="2" max="2" width="20.57"/>
    <col customWidth="1" min="3" max="3" width="29.14"/>
    <col customWidth="1" min="4" max="4" width="21.57"/>
    <col customWidth="1" min="5" max="5" width="25.43"/>
    <col customWidth="1" min="6" max="7" width="9.0"/>
    <col customWidth="1" min="8" max="8" width="7.0"/>
    <col customWidth="1" min="9" max="10" width="20.86"/>
    <col customWidth="1" min="11" max="11" width="18.57"/>
    <col customWidth="1" min="12" max="12" width="20.43"/>
    <col customWidth="1" min="13" max="13" width="18.57"/>
    <col customWidth="1" min="14" max="14" width="27.43"/>
    <col customWidth="1" min="15" max="26" width="9.0"/>
  </cols>
  <sheetData>
    <row r="1" ht="25.5" customHeight="1">
      <c r="A1" s="1" t="s">
        <v>0</v>
      </c>
      <c r="B1" s="1"/>
      <c r="C1" s="1" t="s">
        <v>2</v>
      </c>
      <c r="D1" s="1" t="s">
        <v>3</v>
      </c>
      <c r="E1" s="41" t="s">
        <v>648</v>
      </c>
    </row>
    <row r="2" ht="27.75" customHeight="1">
      <c r="A2" s="42" t="s">
        <v>649</v>
      </c>
      <c r="B2" s="2"/>
      <c r="C2" s="2">
        <v>4.0</v>
      </c>
      <c r="D2" s="3">
        <v>7.0</v>
      </c>
      <c r="E2" s="43">
        <v>3750000.0</v>
      </c>
    </row>
    <row r="3" ht="27.75" customHeight="1">
      <c r="A3" s="4"/>
      <c r="B3" s="4"/>
      <c r="C3" s="4"/>
    </row>
    <row r="4" ht="35.25" customHeight="1">
      <c r="A4" s="5" t="s">
        <v>650</v>
      </c>
      <c r="B4" s="5" t="s">
        <v>651</v>
      </c>
      <c r="C4" s="5" t="s">
        <v>652</v>
      </c>
      <c r="D4" s="5" t="s">
        <v>8</v>
      </c>
      <c r="E4" s="5" t="s">
        <v>9</v>
      </c>
    </row>
    <row r="5" ht="22.5" customHeight="1">
      <c r="A5" s="6" t="s">
        <v>653</v>
      </c>
      <c r="B5" s="7"/>
      <c r="C5" s="7"/>
      <c r="D5" s="8"/>
      <c r="E5" s="8"/>
    </row>
    <row r="6" ht="22.5" customHeight="1">
      <c r="A6" s="6" t="s">
        <v>654</v>
      </c>
      <c r="B6" s="7"/>
      <c r="C6" s="7"/>
      <c r="D6" s="8"/>
      <c r="E6" s="8"/>
    </row>
    <row r="7" ht="22.5" customHeight="1">
      <c r="A7" s="9" t="s">
        <v>12</v>
      </c>
      <c r="B7" s="10" t="s">
        <v>655</v>
      </c>
      <c r="C7" s="11">
        <v>337500.0</v>
      </c>
      <c r="D7" s="12">
        <v>2.0</v>
      </c>
      <c r="E7" s="11">
        <f t="shared" ref="E7:E11" si="1">C7*D7</f>
        <v>675000</v>
      </c>
    </row>
    <row r="8" ht="22.5" customHeight="1">
      <c r="A8" s="9" t="s">
        <v>14</v>
      </c>
      <c r="B8" s="10" t="s">
        <v>656</v>
      </c>
      <c r="C8" s="11">
        <v>375000.0</v>
      </c>
      <c r="D8" s="12"/>
      <c r="E8" s="11">
        <f t="shared" si="1"/>
        <v>0</v>
      </c>
      <c r="H8" s="13"/>
      <c r="I8" s="14"/>
      <c r="J8" s="14"/>
      <c r="K8" s="15"/>
      <c r="L8" s="15"/>
      <c r="M8" s="15"/>
      <c r="N8" s="15"/>
    </row>
    <row r="9" ht="22.5" customHeight="1">
      <c r="A9" s="9" t="s">
        <v>16</v>
      </c>
      <c r="B9" s="10" t="s">
        <v>657</v>
      </c>
      <c r="C9" s="11">
        <v>412500.0</v>
      </c>
      <c r="D9" s="12"/>
      <c r="E9" s="11">
        <f t="shared" si="1"/>
        <v>0</v>
      </c>
      <c r="H9" s="13"/>
      <c r="I9" s="14"/>
      <c r="J9" s="14"/>
      <c r="K9" s="15"/>
      <c r="L9" s="15"/>
      <c r="M9" s="15"/>
      <c r="N9" s="15"/>
    </row>
    <row r="10" ht="22.5" customHeight="1">
      <c r="A10" s="9" t="s">
        <v>18</v>
      </c>
      <c r="B10" s="10" t="s">
        <v>658</v>
      </c>
      <c r="C10" s="11">
        <v>487500.0</v>
      </c>
      <c r="D10" s="12"/>
      <c r="E10" s="11">
        <f t="shared" si="1"/>
        <v>0</v>
      </c>
      <c r="H10" s="13"/>
      <c r="I10" s="14"/>
      <c r="J10" s="14"/>
      <c r="K10" s="15"/>
      <c r="L10" s="15"/>
      <c r="M10" s="15"/>
      <c r="N10" s="15"/>
    </row>
    <row r="11" ht="22.5" customHeight="1">
      <c r="A11" s="9" t="s">
        <v>20</v>
      </c>
      <c r="B11" s="10" t="s">
        <v>659</v>
      </c>
      <c r="C11" s="11">
        <v>562500.0</v>
      </c>
      <c r="D11" s="12">
        <v>1.0</v>
      </c>
      <c r="E11" s="11">
        <f t="shared" si="1"/>
        <v>562500</v>
      </c>
      <c r="H11" s="13"/>
      <c r="I11" s="14"/>
      <c r="J11" s="14"/>
      <c r="K11" s="15"/>
      <c r="L11" s="15"/>
      <c r="M11" s="15"/>
      <c r="N11" s="15"/>
    </row>
    <row r="12" ht="22.5" customHeight="1">
      <c r="A12" s="6" t="s">
        <v>660</v>
      </c>
      <c r="B12" s="7"/>
      <c r="C12" s="16"/>
      <c r="D12" s="12"/>
      <c r="E12" s="11"/>
    </row>
    <row r="13" ht="22.5" customHeight="1">
      <c r="A13" s="9" t="s">
        <v>23</v>
      </c>
      <c r="B13" s="10" t="s">
        <v>661</v>
      </c>
      <c r="C13" s="11">
        <v>750000.0</v>
      </c>
      <c r="D13" s="12">
        <v>2.0</v>
      </c>
      <c r="E13" s="11">
        <f t="shared" ref="E13:E27" si="2">C13*D13</f>
        <v>1500000</v>
      </c>
    </row>
    <row r="14" ht="22.5" customHeight="1">
      <c r="A14" s="9" t="s">
        <v>25</v>
      </c>
      <c r="B14" s="10" t="s">
        <v>662</v>
      </c>
      <c r="C14" s="11">
        <v>950000.0</v>
      </c>
      <c r="D14" s="12">
        <v>1.0</v>
      </c>
      <c r="E14" s="11">
        <f t="shared" si="2"/>
        <v>950000</v>
      </c>
    </row>
    <row r="15" ht="22.5" customHeight="1">
      <c r="A15" s="9" t="s">
        <v>27</v>
      </c>
      <c r="B15" s="10" t="s">
        <v>663</v>
      </c>
      <c r="C15" s="11">
        <v>300000.0</v>
      </c>
      <c r="D15" s="12"/>
      <c r="E15" s="11">
        <f t="shared" si="2"/>
        <v>0</v>
      </c>
    </row>
    <row r="16" ht="22.5" customHeight="1">
      <c r="A16" s="6" t="s">
        <v>664</v>
      </c>
      <c r="B16" s="7"/>
      <c r="C16" s="16"/>
      <c r="D16" s="12"/>
      <c r="E16" s="11">
        <f t="shared" si="2"/>
        <v>0</v>
      </c>
    </row>
    <row r="17" ht="22.5" customHeight="1">
      <c r="A17" s="9" t="s">
        <v>30</v>
      </c>
      <c r="B17" s="10" t="s">
        <v>665</v>
      </c>
      <c r="C17" s="11">
        <v>467500.0</v>
      </c>
      <c r="D17" s="12">
        <v>3.0</v>
      </c>
      <c r="E17" s="11">
        <f t="shared" si="2"/>
        <v>1402500</v>
      </c>
    </row>
    <row r="18" ht="22.5" customHeight="1">
      <c r="A18" s="9" t="s">
        <v>32</v>
      </c>
      <c r="B18" s="10" t="s">
        <v>666</v>
      </c>
      <c r="C18" s="11">
        <v>200000.0</v>
      </c>
      <c r="D18" s="12">
        <v>1.0</v>
      </c>
      <c r="E18" s="11">
        <f t="shared" si="2"/>
        <v>200000</v>
      </c>
    </row>
    <row r="19" ht="22.5" customHeight="1">
      <c r="A19" s="9" t="s">
        <v>34</v>
      </c>
      <c r="B19" s="10" t="s">
        <v>667</v>
      </c>
      <c r="C19" s="11">
        <v>260000.0</v>
      </c>
      <c r="D19" s="8"/>
      <c r="E19" s="11">
        <f t="shared" si="2"/>
        <v>0</v>
      </c>
    </row>
    <row r="20" ht="22.5" customHeight="1">
      <c r="A20" s="9" t="s">
        <v>36</v>
      </c>
      <c r="B20" s="10" t="s">
        <v>668</v>
      </c>
      <c r="C20" s="11">
        <v>300000.0</v>
      </c>
      <c r="D20" s="12"/>
      <c r="E20" s="11">
        <f t="shared" si="2"/>
        <v>0</v>
      </c>
    </row>
    <row r="21" ht="22.5" customHeight="1">
      <c r="A21" s="9" t="s">
        <v>669</v>
      </c>
      <c r="B21" s="10" t="s">
        <v>670</v>
      </c>
      <c r="C21" s="11">
        <v>316000.0</v>
      </c>
      <c r="D21" s="12"/>
      <c r="E21" s="11">
        <f t="shared" si="2"/>
        <v>0</v>
      </c>
    </row>
    <row r="22" ht="22.5" customHeight="1">
      <c r="A22" s="9" t="s">
        <v>671</v>
      </c>
      <c r="B22" s="10" t="s">
        <v>672</v>
      </c>
      <c r="C22" s="11">
        <v>380000.0</v>
      </c>
      <c r="D22" s="12"/>
      <c r="E22" s="11">
        <f t="shared" si="2"/>
        <v>0</v>
      </c>
    </row>
    <row r="23" ht="22.5" customHeight="1">
      <c r="A23" s="9" t="s">
        <v>673</v>
      </c>
      <c r="B23" s="10" t="s">
        <v>674</v>
      </c>
      <c r="C23" s="11">
        <v>440000.0</v>
      </c>
      <c r="D23" s="12"/>
      <c r="E23" s="11">
        <f t="shared" si="2"/>
        <v>0</v>
      </c>
    </row>
    <row r="24" ht="22.5" customHeight="1">
      <c r="A24" s="9" t="s">
        <v>44</v>
      </c>
      <c r="B24" s="10" t="s">
        <v>675</v>
      </c>
      <c r="C24" s="11">
        <v>572000.0</v>
      </c>
      <c r="D24" s="12"/>
      <c r="E24" s="11">
        <f t="shared" si="2"/>
        <v>0</v>
      </c>
    </row>
    <row r="25" ht="22.5" customHeight="1">
      <c r="A25" s="9" t="s">
        <v>46</v>
      </c>
      <c r="B25" s="10" t="s">
        <v>676</v>
      </c>
      <c r="C25" s="11">
        <v>617000.0</v>
      </c>
      <c r="D25" s="12"/>
      <c r="E25" s="11">
        <f t="shared" si="2"/>
        <v>0</v>
      </c>
    </row>
    <row r="26" ht="22.5" customHeight="1">
      <c r="A26" s="9" t="s">
        <v>48</v>
      </c>
      <c r="B26" s="10" t="s">
        <v>677</v>
      </c>
      <c r="C26" s="11">
        <v>472000.0</v>
      </c>
      <c r="D26" s="12"/>
      <c r="E26" s="11">
        <f t="shared" si="2"/>
        <v>0</v>
      </c>
    </row>
    <row r="27" ht="22.5" customHeight="1">
      <c r="A27" s="9" t="s">
        <v>50</v>
      </c>
      <c r="B27" s="10" t="s">
        <v>678</v>
      </c>
      <c r="C27" s="11">
        <v>517000.0</v>
      </c>
      <c r="D27" s="12"/>
      <c r="E27" s="11">
        <f t="shared" si="2"/>
        <v>0</v>
      </c>
    </row>
    <row r="28" ht="22.5" customHeight="1">
      <c r="A28" s="6" t="s">
        <v>679</v>
      </c>
      <c r="B28" s="7"/>
      <c r="C28" s="16"/>
      <c r="D28" s="12"/>
      <c r="E28" s="11"/>
    </row>
    <row r="29" ht="22.5" customHeight="1">
      <c r="A29" s="6" t="s">
        <v>680</v>
      </c>
      <c r="B29" s="7"/>
      <c r="C29" s="16"/>
      <c r="D29" s="12"/>
      <c r="E29" s="11"/>
    </row>
    <row r="30" ht="22.5" customHeight="1">
      <c r="A30" s="9" t="s">
        <v>54</v>
      </c>
      <c r="B30" s="10" t="s">
        <v>681</v>
      </c>
      <c r="C30" s="11">
        <v>75000.0</v>
      </c>
      <c r="D30" s="12">
        <f>D2</f>
        <v>7</v>
      </c>
      <c r="E30" s="11">
        <f t="shared" ref="E30:E38" si="3">C30*D30</f>
        <v>525000</v>
      </c>
    </row>
    <row r="31" ht="22.5" customHeight="1">
      <c r="A31" s="9" t="s">
        <v>682</v>
      </c>
      <c r="B31" s="10" t="s">
        <v>683</v>
      </c>
      <c r="C31" s="11">
        <v>55000.0</v>
      </c>
      <c r="D31" s="12"/>
      <c r="E31" s="11">
        <f t="shared" si="3"/>
        <v>0</v>
      </c>
    </row>
    <row r="32" ht="22.5" customHeight="1">
      <c r="A32" s="9" t="s">
        <v>58</v>
      </c>
      <c r="B32" s="10" t="s">
        <v>684</v>
      </c>
      <c r="C32" s="11">
        <v>25000.0</v>
      </c>
      <c r="D32" s="12">
        <f>D2</f>
        <v>7</v>
      </c>
      <c r="E32" s="11">
        <f t="shared" si="3"/>
        <v>175000</v>
      </c>
    </row>
    <row r="33" ht="22.5" customHeight="1">
      <c r="A33" s="9" t="s">
        <v>60</v>
      </c>
      <c r="B33" s="10" t="s">
        <v>685</v>
      </c>
      <c r="C33" s="11">
        <v>250000.0</v>
      </c>
      <c r="D33" s="12">
        <v>1.0</v>
      </c>
      <c r="E33" s="11">
        <f t="shared" si="3"/>
        <v>250000</v>
      </c>
    </row>
    <row r="34" ht="22.5" customHeight="1">
      <c r="A34" s="9" t="s">
        <v>62</v>
      </c>
      <c r="B34" s="10" t="s">
        <v>686</v>
      </c>
      <c r="C34" s="11">
        <v>65000.0</v>
      </c>
      <c r="D34" s="12"/>
      <c r="E34" s="11">
        <f t="shared" si="3"/>
        <v>0</v>
      </c>
    </row>
    <row r="35" ht="22.5" customHeight="1">
      <c r="A35" s="9" t="s">
        <v>64</v>
      </c>
      <c r="B35" s="10" t="s">
        <v>687</v>
      </c>
      <c r="C35" s="11">
        <v>65000.0</v>
      </c>
      <c r="D35" s="12">
        <f>D2</f>
        <v>7</v>
      </c>
      <c r="E35" s="11">
        <f t="shared" si="3"/>
        <v>455000</v>
      </c>
    </row>
    <row r="36" ht="22.5" customHeight="1">
      <c r="A36" s="9" t="s">
        <v>66</v>
      </c>
      <c r="B36" s="10" t="s">
        <v>688</v>
      </c>
      <c r="C36" s="11">
        <v>60000.0</v>
      </c>
      <c r="D36" s="12"/>
      <c r="E36" s="11">
        <f t="shared" si="3"/>
        <v>0</v>
      </c>
    </row>
    <row r="37" ht="22.5" customHeight="1">
      <c r="A37" s="9" t="s">
        <v>68</v>
      </c>
      <c r="B37" s="10" t="s">
        <v>689</v>
      </c>
      <c r="C37" s="11">
        <v>60000.0</v>
      </c>
      <c r="D37" s="12"/>
      <c r="E37" s="11">
        <f t="shared" si="3"/>
        <v>0</v>
      </c>
    </row>
    <row r="38" ht="22.5" customHeight="1">
      <c r="A38" s="9" t="s">
        <v>690</v>
      </c>
      <c r="B38" s="10" t="s">
        <v>691</v>
      </c>
      <c r="C38" s="11">
        <v>35000.0</v>
      </c>
      <c r="D38" s="12"/>
      <c r="E38" s="11">
        <f t="shared" si="3"/>
        <v>0</v>
      </c>
    </row>
    <row r="39" ht="22.5" customHeight="1">
      <c r="A39" s="6" t="s">
        <v>692</v>
      </c>
      <c r="B39" s="7"/>
      <c r="C39" s="17"/>
      <c r="D39" s="12"/>
      <c r="E39" s="11"/>
    </row>
    <row r="40" ht="22.5" customHeight="1">
      <c r="A40" s="9" t="s">
        <v>73</v>
      </c>
      <c r="B40" s="10" t="s">
        <v>693</v>
      </c>
      <c r="C40" s="11">
        <v>160000.0</v>
      </c>
      <c r="D40" s="12">
        <f>D2</f>
        <v>7</v>
      </c>
      <c r="E40" s="11">
        <f t="shared" ref="E40:E45" si="4">C40*D40</f>
        <v>1120000</v>
      </c>
    </row>
    <row r="41" ht="22.5" customHeight="1">
      <c r="A41" s="9" t="s">
        <v>694</v>
      </c>
      <c r="B41" s="10" t="s">
        <v>695</v>
      </c>
      <c r="C41" s="11">
        <v>500000.0</v>
      </c>
      <c r="D41" s="12">
        <f>ROUNDUP(D2/4,0)</f>
        <v>2</v>
      </c>
      <c r="E41" s="11">
        <f t="shared" si="4"/>
        <v>1000000</v>
      </c>
    </row>
    <row r="42" ht="22.5" customHeight="1">
      <c r="A42" s="6" t="s">
        <v>696</v>
      </c>
      <c r="B42" s="7"/>
      <c r="C42" s="17"/>
      <c r="D42" s="12"/>
      <c r="E42" s="11">
        <f t="shared" si="4"/>
        <v>0</v>
      </c>
    </row>
    <row r="43" ht="22.5" customHeight="1">
      <c r="A43" s="9" t="s">
        <v>697</v>
      </c>
      <c r="B43" s="10" t="s">
        <v>698</v>
      </c>
      <c r="C43" s="11">
        <v>150000.0</v>
      </c>
      <c r="D43" s="12">
        <f>$D$2</f>
        <v>7</v>
      </c>
      <c r="E43" s="11">
        <f t="shared" si="4"/>
        <v>1050000</v>
      </c>
    </row>
    <row r="44" ht="22.5" customHeight="1">
      <c r="A44" s="9" t="s">
        <v>80</v>
      </c>
      <c r="B44" s="10" t="s">
        <v>699</v>
      </c>
      <c r="C44" s="11">
        <v>200000.0</v>
      </c>
      <c r="D44" s="12">
        <v>1.0</v>
      </c>
      <c r="E44" s="11">
        <f t="shared" si="4"/>
        <v>200000</v>
      </c>
    </row>
    <row r="45" ht="22.5" customHeight="1">
      <c r="A45" s="9" t="s">
        <v>700</v>
      </c>
      <c r="B45" s="10" t="s">
        <v>701</v>
      </c>
      <c r="C45" s="11">
        <v>50000.0</v>
      </c>
      <c r="D45" s="12">
        <f>$D$2</f>
        <v>7</v>
      </c>
      <c r="E45" s="11">
        <f t="shared" si="4"/>
        <v>350000</v>
      </c>
    </row>
    <row r="46" ht="22.5" customHeight="1">
      <c r="A46" s="6" t="s">
        <v>84</v>
      </c>
      <c r="B46" s="7"/>
      <c r="C46" s="16"/>
      <c r="D46" s="12"/>
      <c r="E46" s="11"/>
    </row>
    <row r="47" ht="22.5" customHeight="1">
      <c r="A47" s="6" t="s">
        <v>702</v>
      </c>
      <c r="B47" s="7"/>
      <c r="C47" s="16"/>
      <c r="D47" s="12"/>
      <c r="E47" s="11"/>
    </row>
    <row r="48" ht="22.5" customHeight="1">
      <c r="A48" s="9" t="s">
        <v>703</v>
      </c>
      <c r="B48" s="10" t="s">
        <v>704</v>
      </c>
      <c r="C48" s="11">
        <v>450000.0</v>
      </c>
      <c r="D48" s="12">
        <f>IF($D$2=1,4, IF($D$2=2,4,0))</f>
        <v>0</v>
      </c>
      <c r="E48" s="11">
        <f t="shared" ref="E48:E52" si="5">C48*D48</f>
        <v>0</v>
      </c>
    </row>
    <row r="49" ht="22.5" customHeight="1">
      <c r="A49" s="9" t="s">
        <v>705</v>
      </c>
      <c r="B49" s="10" t="s">
        <v>706</v>
      </c>
      <c r="C49" s="11">
        <v>550000.0</v>
      </c>
      <c r="D49" s="12">
        <f>IF($D$2=3,4, 0)</f>
        <v>0</v>
      </c>
      <c r="E49" s="11">
        <f t="shared" si="5"/>
        <v>0</v>
      </c>
    </row>
    <row r="50" ht="22.5" customHeight="1">
      <c r="A50" s="9" t="s">
        <v>90</v>
      </c>
      <c r="B50" s="10" t="s">
        <v>707</v>
      </c>
      <c r="C50" s="11">
        <v>1100000.0</v>
      </c>
      <c r="D50" s="12">
        <f>IF((($D$2&gt;=4)*($D$2&lt;=11))=1,4,0)</f>
        <v>4</v>
      </c>
      <c r="E50" s="11">
        <f t="shared" si="5"/>
        <v>4400000</v>
      </c>
    </row>
    <row r="51" ht="22.5" customHeight="1">
      <c r="A51" s="9" t="s">
        <v>708</v>
      </c>
      <c r="B51" s="10" t="s">
        <v>709</v>
      </c>
      <c r="C51" s="11">
        <v>1300000.0</v>
      </c>
      <c r="D51" s="12"/>
      <c r="E51" s="11">
        <f t="shared" si="5"/>
        <v>0</v>
      </c>
    </row>
    <row r="52" ht="22.5" customHeight="1">
      <c r="A52" s="9" t="s">
        <v>94</v>
      </c>
      <c r="B52" s="10" t="s">
        <v>710</v>
      </c>
      <c r="C52" s="11">
        <v>650000.0</v>
      </c>
      <c r="D52" s="12">
        <f>IF((($D$2&gt;=10)*($D$2&lt;=11))=1,1,0)</f>
        <v>0</v>
      </c>
      <c r="E52" s="11">
        <f t="shared" si="5"/>
        <v>0</v>
      </c>
    </row>
    <row r="53" ht="22.5" customHeight="1">
      <c r="A53" s="6" t="s">
        <v>711</v>
      </c>
      <c r="B53" s="7"/>
      <c r="C53" s="16"/>
      <c r="D53" s="12"/>
      <c r="E53" s="11"/>
    </row>
    <row r="54" ht="22.5" customHeight="1">
      <c r="A54" s="9" t="s">
        <v>712</v>
      </c>
      <c r="B54" s="10" t="s">
        <v>713</v>
      </c>
      <c r="C54" s="11">
        <v>200000.0</v>
      </c>
      <c r="D54" s="12">
        <f>IF((($D$2&gt;=10)*($D$2&lt;=11))=1,2,1)</f>
        <v>1</v>
      </c>
      <c r="E54" s="11">
        <f t="shared" ref="E54:E59" si="6">C54*D54</f>
        <v>200000</v>
      </c>
    </row>
    <row r="55" ht="22.5" customHeight="1">
      <c r="A55" s="9" t="s">
        <v>99</v>
      </c>
      <c r="B55" s="10" t="s">
        <v>714</v>
      </c>
      <c r="C55" s="11">
        <v>300000.0</v>
      </c>
      <c r="D55" s="12"/>
      <c r="E55" s="11">
        <f t="shared" si="6"/>
        <v>0</v>
      </c>
    </row>
    <row r="56" ht="22.5" customHeight="1">
      <c r="A56" s="6" t="s">
        <v>715</v>
      </c>
      <c r="B56" s="7"/>
      <c r="C56" s="16"/>
      <c r="D56" s="12"/>
      <c r="E56" s="11">
        <f t="shared" si="6"/>
        <v>0</v>
      </c>
    </row>
    <row r="57" ht="22.5" customHeight="1">
      <c r="A57" s="9" t="s">
        <v>716</v>
      </c>
      <c r="B57" s="10" t="s">
        <v>717</v>
      </c>
      <c r="C57" s="11">
        <v>200000.0</v>
      </c>
      <c r="D57" s="12"/>
      <c r="E57" s="11">
        <f t="shared" si="6"/>
        <v>0</v>
      </c>
    </row>
    <row r="58" ht="22.5" customHeight="1">
      <c r="A58" s="18" t="s">
        <v>104</v>
      </c>
      <c r="B58" s="7"/>
      <c r="C58" s="16"/>
      <c r="D58" s="12"/>
      <c r="E58" s="11">
        <f t="shared" si="6"/>
        <v>0</v>
      </c>
    </row>
    <row r="59" ht="22.5" customHeight="1">
      <c r="A59" s="9" t="s">
        <v>105</v>
      </c>
      <c r="B59" s="10" t="s">
        <v>718</v>
      </c>
      <c r="C59" s="11">
        <v>650000.0</v>
      </c>
      <c r="D59" s="12"/>
      <c r="E59" s="11">
        <f t="shared" si="6"/>
        <v>0</v>
      </c>
    </row>
    <row r="60" ht="22.5" customHeight="1">
      <c r="A60" s="6" t="s">
        <v>107</v>
      </c>
      <c r="B60" s="7"/>
      <c r="C60" s="16"/>
      <c r="D60" s="12"/>
      <c r="E60" s="11"/>
    </row>
    <row r="61" ht="22.5" customHeight="1">
      <c r="A61" s="6" t="s">
        <v>719</v>
      </c>
      <c r="B61" s="7"/>
      <c r="C61" s="16"/>
      <c r="D61" s="12"/>
      <c r="E61" s="11"/>
    </row>
    <row r="62" ht="22.5" customHeight="1">
      <c r="A62" s="9" t="s">
        <v>720</v>
      </c>
      <c r="B62" s="10" t="s">
        <v>721</v>
      </c>
      <c r="C62" s="11">
        <v>250000.0</v>
      </c>
      <c r="D62" s="12">
        <f>IF((($D$2&gt;=1)*($D$2&lt;=3))=1,4,0)</f>
        <v>0</v>
      </c>
      <c r="E62" s="11">
        <f t="shared" ref="E62:E74" si="7">C62*D62</f>
        <v>0</v>
      </c>
    </row>
    <row r="63" ht="22.5" customHeight="1">
      <c r="A63" s="9" t="s">
        <v>111</v>
      </c>
      <c r="B63" s="10" t="s">
        <v>722</v>
      </c>
      <c r="C63" s="11">
        <v>250000.0</v>
      </c>
      <c r="D63" s="12">
        <f>IF((($D$2&gt;=4)*($D$2&lt;=11))=1,4,0)</f>
        <v>4</v>
      </c>
      <c r="E63" s="11">
        <f t="shared" si="7"/>
        <v>1000000</v>
      </c>
    </row>
    <row r="64" ht="22.5" customHeight="1">
      <c r="A64" s="9" t="s">
        <v>113</v>
      </c>
      <c r="B64" s="10" t="s">
        <v>723</v>
      </c>
      <c r="C64" s="11">
        <v>200000.0</v>
      </c>
      <c r="D64" s="12"/>
      <c r="E64" s="11">
        <f t="shared" si="7"/>
        <v>0</v>
      </c>
    </row>
    <row r="65" ht="22.5" customHeight="1">
      <c r="A65" s="6" t="s">
        <v>115</v>
      </c>
      <c r="B65" s="7"/>
      <c r="C65" s="16"/>
      <c r="D65" s="12"/>
      <c r="E65" s="11">
        <f t="shared" si="7"/>
        <v>0</v>
      </c>
    </row>
    <row r="66" ht="22.5" customHeight="1">
      <c r="A66" s="6" t="s">
        <v>724</v>
      </c>
      <c r="B66" s="7"/>
      <c r="C66" s="16"/>
      <c r="D66" s="12"/>
      <c r="E66" s="11">
        <f t="shared" si="7"/>
        <v>0</v>
      </c>
    </row>
    <row r="67" ht="22.5" customHeight="1">
      <c r="A67" s="9" t="s">
        <v>725</v>
      </c>
      <c r="B67" s="10" t="s">
        <v>118</v>
      </c>
      <c r="C67" s="11">
        <v>50000.0</v>
      </c>
      <c r="D67" s="12">
        <f>ROUNDUP(D2*C2*4/24,0)</f>
        <v>5</v>
      </c>
      <c r="E67" s="11">
        <f t="shared" si="7"/>
        <v>250000</v>
      </c>
    </row>
    <row r="68" ht="22.5" customHeight="1">
      <c r="A68" s="9" t="s">
        <v>119</v>
      </c>
      <c r="B68" s="10" t="s">
        <v>120</v>
      </c>
      <c r="C68" s="11">
        <v>100000.0</v>
      </c>
      <c r="D68" s="12">
        <v>1.0</v>
      </c>
      <c r="E68" s="11">
        <f t="shared" si="7"/>
        <v>100000</v>
      </c>
    </row>
    <row r="69" ht="22.5" customHeight="1">
      <c r="A69" s="9" t="s">
        <v>726</v>
      </c>
      <c r="B69" s="10" t="s">
        <v>727</v>
      </c>
      <c r="C69" s="11">
        <v>60000.0</v>
      </c>
      <c r="D69" s="12">
        <f>D2</f>
        <v>7</v>
      </c>
      <c r="E69" s="11">
        <f t="shared" si="7"/>
        <v>420000</v>
      </c>
    </row>
    <row r="70" ht="22.5" customHeight="1">
      <c r="A70" s="6" t="s">
        <v>728</v>
      </c>
      <c r="B70" s="7"/>
      <c r="C70" s="19"/>
      <c r="D70" s="12"/>
      <c r="E70" s="11">
        <f t="shared" si="7"/>
        <v>0</v>
      </c>
    </row>
    <row r="71" ht="22.5" customHeight="1">
      <c r="A71" s="9" t="s">
        <v>729</v>
      </c>
      <c r="B71" s="10" t="s">
        <v>730</v>
      </c>
      <c r="C71" s="12">
        <v>2000000.0</v>
      </c>
      <c r="D71" s="12"/>
      <c r="E71" s="11">
        <f t="shared" si="7"/>
        <v>0</v>
      </c>
    </row>
    <row r="72" ht="22.5" customHeight="1">
      <c r="A72" s="6" t="s">
        <v>731</v>
      </c>
      <c r="B72" s="7"/>
      <c r="C72" s="19"/>
      <c r="D72" s="12"/>
      <c r="E72" s="11">
        <f t="shared" si="7"/>
        <v>0</v>
      </c>
    </row>
    <row r="73" ht="22.5" customHeight="1">
      <c r="A73" s="9" t="s">
        <v>732</v>
      </c>
      <c r="B73" s="10" t="s">
        <v>733</v>
      </c>
      <c r="C73" s="12">
        <v>16000.0</v>
      </c>
      <c r="D73" s="12">
        <f>D2</f>
        <v>7</v>
      </c>
      <c r="E73" s="11">
        <f t="shared" si="7"/>
        <v>112000</v>
      </c>
    </row>
    <row r="74" ht="22.5" customHeight="1">
      <c r="A74" s="9" t="s">
        <v>129</v>
      </c>
      <c r="B74" s="10" t="s">
        <v>734</v>
      </c>
      <c r="C74" s="12">
        <v>100000.0</v>
      </c>
      <c r="D74" s="12"/>
      <c r="E74" s="11">
        <f t="shared" si="7"/>
        <v>0</v>
      </c>
    </row>
    <row r="75" ht="30.0" customHeight="1">
      <c r="A75" s="20" t="s">
        <v>131</v>
      </c>
      <c r="B75" s="21"/>
      <c r="C75" s="5"/>
      <c r="D75" s="12"/>
      <c r="E75" s="22">
        <f>SUM(E7:E74)</f>
        <v>16897000</v>
      </c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</row>
    <row r="76" ht="36.0" customHeight="1">
      <c r="A76" s="20" t="s">
        <v>132</v>
      </c>
      <c r="B76" s="8"/>
      <c r="C76" s="8"/>
      <c r="D76" s="8"/>
      <c r="E76" s="22">
        <f>E75/D2</f>
        <v>2413857.143</v>
      </c>
    </row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fitToHeight="0"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93.86"/>
    <col customWidth="1" min="2" max="2" width="20.57"/>
    <col customWidth="1" min="3" max="3" width="29.14"/>
    <col customWidth="1" min="4" max="4" width="21.57"/>
    <col customWidth="1" min="5" max="5" width="25.43"/>
    <col customWidth="1" min="6" max="7" width="9.0"/>
    <col customWidth="1" min="8" max="8" width="7.0"/>
    <col customWidth="1" min="9" max="10" width="20.86"/>
    <col customWidth="1" min="11" max="11" width="18.57"/>
    <col customWidth="1" min="12" max="12" width="20.43"/>
    <col customWidth="1" min="13" max="13" width="18.57"/>
    <col customWidth="1" min="14" max="14" width="27.43"/>
    <col customWidth="1" min="15" max="26" width="9.0"/>
  </cols>
  <sheetData>
    <row r="1" ht="25.5" customHeight="1">
      <c r="A1" s="1" t="s">
        <v>0</v>
      </c>
      <c r="B1" s="1" t="s">
        <v>1</v>
      </c>
      <c r="C1" s="1" t="s">
        <v>2</v>
      </c>
      <c r="D1" s="1" t="s">
        <v>3</v>
      </c>
    </row>
    <row r="2" ht="27.75" customHeight="1">
      <c r="A2" s="2" t="s">
        <v>4</v>
      </c>
      <c r="B2" s="2">
        <v>34.0</v>
      </c>
      <c r="C2" s="2">
        <v>4.0</v>
      </c>
      <c r="D2" s="3">
        <v>8.0</v>
      </c>
    </row>
    <row r="3" ht="27.75" customHeight="1">
      <c r="A3" s="4"/>
      <c r="B3" s="4"/>
      <c r="C3" s="4"/>
    </row>
    <row r="4" ht="35.25" customHeight="1">
      <c r="A4" s="5" t="s">
        <v>735</v>
      </c>
      <c r="B4" s="5" t="s">
        <v>736</v>
      </c>
      <c r="C4" s="5" t="s">
        <v>737</v>
      </c>
      <c r="D4" s="5" t="s">
        <v>8</v>
      </c>
      <c r="E4" s="5" t="s">
        <v>9</v>
      </c>
    </row>
    <row r="5" ht="22.5" customHeight="1">
      <c r="A5" s="6" t="s">
        <v>738</v>
      </c>
      <c r="B5" s="7"/>
      <c r="C5" s="7"/>
      <c r="D5" s="8"/>
      <c r="E5" s="8"/>
    </row>
    <row r="6" ht="22.5" customHeight="1">
      <c r="A6" s="6" t="s">
        <v>739</v>
      </c>
      <c r="B6" s="7"/>
      <c r="C6" s="7"/>
      <c r="D6" s="8"/>
      <c r="E6" s="8"/>
    </row>
    <row r="7" ht="22.5" customHeight="1">
      <c r="A7" s="9" t="s">
        <v>12</v>
      </c>
      <c r="B7" s="10" t="s">
        <v>740</v>
      </c>
      <c r="C7" s="11">
        <v>337500.0</v>
      </c>
      <c r="D7" s="12">
        <f>ROUNDUP($D$2/2,0)</f>
        <v>4</v>
      </c>
      <c r="E7" s="11">
        <f t="shared" ref="E7:E11" si="1">C7*D7</f>
        <v>1350000</v>
      </c>
    </row>
    <row r="8" ht="22.5" customHeight="1">
      <c r="A8" s="9" t="s">
        <v>14</v>
      </c>
      <c r="B8" s="10" t="s">
        <v>741</v>
      </c>
      <c r="C8" s="11">
        <v>375000.0</v>
      </c>
      <c r="D8" s="12"/>
      <c r="E8" s="11">
        <f t="shared" si="1"/>
        <v>0</v>
      </c>
      <c r="H8" s="13"/>
      <c r="I8" s="14"/>
      <c r="J8" s="14"/>
      <c r="K8" s="15"/>
      <c r="L8" s="15"/>
      <c r="M8" s="15"/>
      <c r="N8" s="15"/>
    </row>
    <row r="9" ht="22.5" customHeight="1">
      <c r="A9" s="9" t="s">
        <v>16</v>
      </c>
      <c r="B9" s="10" t="s">
        <v>742</v>
      </c>
      <c r="C9" s="11">
        <v>412500.0</v>
      </c>
      <c r="D9" s="12"/>
      <c r="E9" s="11">
        <f t="shared" si="1"/>
        <v>0</v>
      </c>
      <c r="H9" s="13"/>
      <c r="I9" s="14"/>
      <c r="J9" s="14"/>
      <c r="K9" s="15"/>
      <c r="L9" s="15"/>
      <c r="M9" s="15"/>
      <c r="N9" s="15"/>
    </row>
    <row r="10" ht="22.5" customHeight="1">
      <c r="A10" s="9" t="s">
        <v>18</v>
      </c>
      <c r="B10" s="10" t="s">
        <v>743</v>
      </c>
      <c r="C10" s="11">
        <v>487500.0</v>
      </c>
      <c r="D10" s="12"/>
      <c r="E10" s="11">
        <f t="shared" si="1"/>
        <v>0</v>
      </c>
      <c r="H10" s="13"/>
      <c r="I10" s="14"/>
      <c r="J10" s="14"/>
      <c r="K10" s="15"/>
      <c r="L10" s="15"/>
      <c r="M10" s="15"/>
      <c r="N10" s="15"/>
    </row>
    <row r="11" ht="22.5" customHeight="1">
      <c r="A11" s="9" t="s">
        <v>20</v>
      </c>
      <c r="B11" s="10" t="s">
        <v>744</v>
      </c>
      <c r="C11" s="11">
        <v>562500.0</v>
      </c>
      <c r="D11" s="12"/>
      <c r="E11" s="11">
        <f t="shared" si="1"/>
        <v>0</v>
      </c>
      <c r="H11" s="13"/>
      <c r="I11" s="14"/>
      <c r="J11" s="14"/>
      <c r="K11" s="15"/>
      <c r="L11" s="15"/>
      <c r="M11" s="15"/>
      <c r="N11" s="15"/>
    </row>
    <row r="12" ht="22.5" customHeight="1">
      <c r="A12" s="6" t="s">
        <v>745</v>
      </c>
      <c r="B12" s="7"/>
      <c r="C12" s="16"/>
      <c r="D12" s="12"/>
      <c r="E12" s="11"/>
    </row>
    <row r="13" ht="22.5" customHeight="1">
      <c r="A13" s="9" t="s">
        <v>23</v>
      </c>
      <c r="B13" s="10" t="s">
        <v>746</v>
      </c>
      <c r="C13" s="11">
        <v>750000.0</v>
      </c>
      <c r="D13" s="12">
        <f>ROUNDUP($D$2/2,0)</f>
        <v>4</v>
      </c>
      <c r="E13" s="11">
        <f t="shared" ref="E13:E27" si="2">C13*D13</f>
        <v>3000000</v>
      </c>
    </row>
    <row r="14" ht="22.5" customHeight="1">
      <c r="A14" s="9" t="s">
        <v>25</v>
      </c>
      <c r="B14" s="10" t="s">
        <v>747</v>
      </c>
      <c r="C14" s="11">
        <v>950000.0</v>
      </c>
      <c r="D14" s="12"/>
      <c r="E14" s="11">
        <f t="shared" si="2"/>
        <v>0</v>
      </c>
    </row>
    <row r="15" ht="22.5" customHeight="1">
      <c r="A15" s="9" t="s">
        <v>27</v>
      </c>
      <c r="B15" s="10" t="s">
        <v>748</v>
      </c>
      <c r="C15" s="11">
        <v>300000.0</v>
      </c>
      <c r="D15" s="12"/>
      <c r="E15" s="11">
        <f t="shared" si="2"/>
        <v>0</v>
      </c>
    </row>
    <row r="16" ht="22.5" customHeight="1">
      <c r="A16" s="6" t="s">
        <v>749</v>
      </c>
      <c r="B16" s="7"/>
      <c r="C16" s="16"/>
      <c r="D16" s="12"/>
      <c r="E16" s="11">
        <f t="shared" si="2"/>
        <v>0</v>
      </c>
    </row>
    <row r="17" ht="22.5" customHeight="1">
      <c r="A17" s="9" t="s">
        <v>30</v>
      </c>
      <c r="B17" s="10" t="s">
        <v>750</v>
      </c>
      <c r="C17" s="11">
        <v>467500.0</v>
      </c>
      <c r="D17" s="12">
        <f>ROUNDUP($D$2/2,0)</f>
        <v>4</v>
      </c>
      <c r="E17" s="11">
        <f t="shared" si="2"/>
        <v>1870000</v>
      </c>
    </row>
    <row r="18" ht="22.5" customHeight="1">
      <c r="A18" s="9" t="s">
        <v>32</v>
      </c>
      <c r="B18" s="10" t="s">
        <v>751</v>
      </c>
      <c r="C18" s="11">
        <v>200000.0</v>
      </c>
      <c r="D18" s="12"/>
      <c r="E18" s="11">
        <f t="shared" si="2"/>
        <v>0</v>
      </c>
    </row>
    <row r="19" ht="22.5" customHeight="1">
      <c r="A19" s="9" t="s">
        <v>34</v>
      </c>
      <c r="B19" s="10" t="s">
        <v>752</v>
      </c>
      <c r="C19" s="11">
        <v>260000.0</v>
      </c>
      <c r="D19" s="8"/>
      <c r="E19" s="11">
        <f t="shared" si="2"/>
        <v>0</v>
      </c>
    </row>
    <row r="20" ht="22.5" customHeight="1">
      <c r="A20" s="9" t="s">
        <v>36</v>
      </c>
      <c r="B20" s="10" t="s">
        <v>753</v>
      </c>
      <c r="C20" s="11">
        <v>300000.0</v>
      </c>
      <c r="D20" s="12"/>
      <c r="E20" s="11">
        <f t="shared" si="2"/>
        <v>0</v>
      </c>
    </row>
    <row r="21" ht="22.5" customHeight="1">
      <c r="A21" s="9" t="s">
        <v>754</v>
      </c>
      <c r="B21" s="10" t="s">
        <v>755</v>
      </c>
      <c r="C21" s="11">
        <v>316000.0</v>
      </c>
      <c r="D21" s="12"/>
      <c r="E21" s="11">
        <f t="shared" si="2"/>
        <v>0</v>
      </c>
    </row>
    <row r="22" ht="22.5" customHeight="1">
      <c r="A22" s="9" t="s">
        <v>756</v>
      </c>
      <c r="B22" s="10" t="s">
        <v>757</v>
      </c>
      <c r="C22" s="11">
        <v>380000.0</v>
      </c>
      <c r="D22" s="12"/>
      <c r="E22" s="11">
        <f t="shared" si="2"/>
        <v>0</v>
      </c>
    </row>
    <row r="23" ht="22.5" customHeight="1">
      <c r="A23" s="9" t="s">
        <v>758</v>
      </c>
      <c r="B23" s="10" t="s">
        <v>759</v>
      </c>
      <c r="C23" s="11">
        <v>440000.0</v>
      </c>
      <c r="D23" s="12"/>
      <c r="E23" s="11">
        <f t="shared" si="2"/>
        <v>0</v>
      </c>
    </row>
    <row r="24" ht="22.5" customHeight="1">
      <c r="A24" s="9" t="s">
        <v>44</v>
      </c>
      <c r="B24" s="10" t="s">
        <v>760</v>
      </c>
      <c r="C24" s="11">
        <v>572000.0</v>
      </c>
      <c r="D24" s="12"/>
      <c r="E24" s="11">
        <f t="shared" si="2"/>
        <v>0</v>
      </c>
    </row>
    <row r="25" ht="22.5" customHeight="1">
      <c r="A25" s="9" t="s">
        <v>46</v>
      </c>
      <c r="B25" s="10" t="s">
        <v>761</v>
      </c>
      <c r="C25" s="11">
        <v>617000.0</v>
      </c>
      <c r="D25" s="12"/>
      <c r="E25" s="11">
        <f t="shared" si="2"/>
        <v>0</v>
      </c>
    </row>
    <row r="26" ht="22.5" customHeight="1">
      <c r="A26" s="9" t="s">
        <v>48</v>
      </c>
      <c r="B26" s="10" t="s">
        <v>762</v>
      </c>
      <c r="C26" s="11">
        <v>472000.0</v>
      </c>
      <c r="D26" s="12"/>
      <c r="E26" s="11">
        <f t="shared" si="2"/>
        <v>0</v>
      </c>
    </row>
    <row r="27" ht="22.5" customHeight="1">
      <c r="A27" s="9" t="s">
        <v>50</v>
      </c>
      <c r="B27" s="10" t="s">
        <v>763</v>
      </c>
      <c r="C27" s="11">
        <v>517000.0</v>
      </c>
      <c r="D27" s="12"/>
      <c r="E27" s="11">
        <f t="shared" si="2"/>
        <v>0</v>
      </c>
    </row>
    <row r="28" ht="22.5" customHeight="1">
      <c r="A28" s="6" t="s">
        <v>764</v>
      </c>
      <c r="B28" s="7"/>
      <c r="C28" s="16"/>
      <c r="D28" s="12"/>
      <c r="E28" s="11"/>
    </row>
    <row r="29" ht="22.5" customHeight="1">
      <c r="A29" s="6" t="s">
        <v>765</v>
      </c>
      <c r="B29" s="7"/>
      <c r="C29" s="16"/>
      <c r="D29" s="12"/>
      <c r="E29" s="11"/>
    </row>
    <row r="30" ht="22.5" customHeight="1">
      <c r="A30" s="9" t="s">
        <v>54</v>
      </c>
      <c r="B30" s="10" t="s">
        <v>766</v>
      </c>
      <c r="C30" s="11">
        <v>75000.0</v>
      </c>
      <c r="D30" s="12">
        <f>D2</f>
        <v>8</v>
      </c>
      <c r="E30" s="11">
        <f t="shared" ref="E30:E38" si="3">C30*D30</f>
        <v>600000</v>
      </c>
    </row>
    <row r="31" ht="22.5" customHeight="1">
      <c r="A31" s="9" t="s">
        <v>767</v>
      </c>
      <c r="B31" s="10" t="s">
        <v>768</v>
      </c>
      <c r="C31" s="11">
        <v>55000.0</v>
      </c>
      <c r="D31" s="12"/>
      <c r="E31" s="11">
        <f t="shared" si="3"/>
        <v>0</v>
      </c>
    </row>
    <row r="32" ht="22.5" customHeight="1">
      <c r="A32" s="9" t="s">
        <v>58</v>
      </c>
      <c r="B32" s="10" t="s">
        <v>769</v>
      </c>
      <c r="C32" s="11">
        <v>25000.0</v>
      </c>
      <c r="D32" s="12">
        <f>D2</f>
        <v>8</v>
      </c>
      <c r="E32" s="11">
        <f t="shared" si="3"/>
        <v>200000</v>
      </c>
    </row>
    <row r="33" ht="22.5" customHeight="1">
      <c r="A33" s="9" t="s">
        <v>60</v>
      </c>
      <c r="B33" s="10" t="s">
        <v>770</v>
      </c>
      <c r="C33" s="11">
        <v>250000.0</v>
      </c>
      <c r="D33" s="12">
        <v>1.0</v>
      </c>
      <c r="E33" s="11">
        <f t="shared" si="3"/>
        <v>250000</v>
      </c>
    </row>
    <row r="34" ht="22.5" customHeight="1">
      <c r="A34" s="9" t="s">
        <v>62</v>
      </c>
      <c r="B34" s="10" t="s">
        <v>771</v>
      </c>
      <c r="C34" s="11">
        <v>65000.0</v>
      </c>
      <c r="D34" s="12"/>
      <c r="E34" s="11">
        <f t="shared" si="3"/>
        <v>0</v>
      </c>
    </row>
    <row r="35" ht="22.5" customHeight="1">
      <c r="A35" s="9" t="s">
        <v>64</v>
      </c>
      <c r="B35" s="10" t="s">
        <v>772</v>
      </c>
      <c r="C35" s="11">
        <v>65000.0</v>
      </c>
      <c r="D35" s="12">
        <f>D2</f>
        <v>8</v>
      </c>
      <c r="E35" s="11">
        <f t="shared" si="3"/>
        <v>520000</v>
      </c>
    </row>
    <row r="36" ht="22.5" customHeight="1">
      <c r="A36" s="9" t="s">
        <v>66</v>
      </c>
      <c r="B36" s="10" t="s">
        <v>773</v>
      </c>
      <c r="C36" s="11">
        <v>60000.0</v>
      </c>
      <c r="D36" s="12"/>
      <c r="E36" s="11">
        <f t="shared" si="3"/>
        <v>0</v>
      </c>
    </row>
    <row r="37" ht="22.5" customHeight="1">
      <c r="A37" s="9" t="s">
        <v>68</v>
      </c>
      <c r="B37" s="10" t="s">
        <v>774</v>
      </c>
      <c r="C37" s="11">
        <v>60000.0</v>
      </c>
      <c r="D37" s="12"/>
      <c r="E37" s="11">
        <f t="shared" si="3"/>
        <v>0</v>
      </c>
    </row>
    <row r="38" ht="22.5" customHeight="1">
      <c r="A38" s="9" t="s">
        <v>775</v>
      </c>
      <c r="B38" s="10" t="s">
        <v>776</v>
      </c>
      <c r="C38" s="11">
        <v>35000.0</v>
      </c>
      <c r="D38" s="12"/>
      <c r="E38" s="11">
        <f t="shared" si="3"/>
        <v>0</v>
      </c>
    </row>
    <row r="39" ht="22.5" customHeight="1">
      <c r="A39" s="6" t="s">
        <v>777</v>
      </c>
      <c r="B39" s="7"/>
      <c r="C39" s="17"/>
      <c r="D39" s="12"/>
      <c r="E39" s="11"/>
    </row>
    <row r="40" ht="22.5" customHeight="1">
      <c r="A40" s="9" t="s">
        <v>73</v>
      </c>
      <c r="B40" s="10" t="s">
        <v>778</v>
      </c>
      <c r="C40" s="11">
        <v>160000.0</v>
      </c>
      <c r="D40" s="12">
        <f>D2</f>
        <v>8</v>
      </c>
      <c r="E40" s="11">
        <f t="shared" ref="E40:E45" si="4">C40*D40</f>
        <v>1280000</v>
      </c>
    </row>
    <row r="41" ht="22.5" customHeight="1">
      <c r="A41" s="9" t="s">
        <v>779</v>
      </c>
      <c r="B41" s="10" t="s">
        <v>780</v>
      </c>
      <c r="C41" s="11">
        <v>500000.0</v>
      </c>
      <c r="D41" s="12">
        <f>ROUNDUP(D2/4,0)</f>
        <v>2</v>
      </c>
      <c r="E41" s="11">
        <f t="shared" si="4"/>
        <v>1000000</v>
      </c>
    </row>
    <row r="42" ht="22.5" customHeight="1">
      <c r="A42" s="6" t="s">
        <v>781</v>
      </c>
      <c r="B42" s="7"/>
      <c r="C42" s="17"/>
      <c r="D42" s="12"/>
      <c r="E42" s="11">
        <f t="shared" si="4"/>
        <v>0</v>
      </c>
    </row>
    <row r="43" ht="22.5" customHeight="1">
      <c r="A43" s="9" t="s">
        <v>782</v>
      </c>
      <c r="B43" s="10" t="s">
        <v>783</v>
      </c>
      <c r="C43" s="11">
        <v>150000.0</v>
      </c>
      <c r="D43" s="12">
        <f>$D$2</f>
        <v>8</v>
      </c>
      <c r="E43" s="11">
        <f t="shared" si="4"/>
        <v>1200000</v>
      </c>
    </row>
    <row r="44" ht="22.5" customHeight="1">
      <c r="A44" s="9" t="s">
        <v>80</v>
      </c>
      <c r="B44" s="10" t="s">
        <v>784</v>
      </c>
      <c r="C44" s="11">
        <v>200000.0</v>
      </c>
      <c r="D44" s="12">
        <v>1.0</v>
      </c>
      <c r="E44" s="11">
        <f t="shared" si="4"/>
        <v>200000</v>
      </c>
    </row>
    <row r="45" ht="22.5" customHeight="1">
      <c r="A45" s="9" t="s">
        <v>785</v>
      </c>
      <c r="B45" s="10" t="s">
        <v>786</v>
      </c>
      <c r="C45" s="11">
        <v>50000.0</v>
      </c>
      <c r="D45" s="12">
        <f>$D$2</f>
        <v>8</v>
      </c>
      <c r="E45" s="11">
        <f t="shared" si="4"/>
        <v>400000</v>
      </c>
    </row>
    <row r="46" ht="22.5" customHeight="1">
      <c r="A46" s="6" t="s">
        <v>84</v>
      </c>
      <c r="B46" s="7"/>
      <c r="C46" s="16"/>
      <c r="D46" s="12"/>
      <c r="E46" s="11"/>
    </row>
    <row r="47" ht="22.5" customHeight="1">
      <c r="A47" s="6" t="s">
        <v>787</v>
      </c>
      <c r="B47" s="7"/>
      <c r="C47" s="16"/>
      <c r="D47" s="12"/>
      <c r="E47" s="11"/>
    </row>
    <row r="48" ht="22.5" customHeight="1">
      <c r="A48" s="9" t="s">
        <v>788</v>
      </c>
      <c r="B48" s="10" t="s">
        <v>789</v>
      </c>
      <c r="C48" s="11">
        <v>450000.0</v>
      </c>
      <c r="D48" s="12">
        <f>IF($D$2=1,4, IF($D$2=2,4,0))</f>
        <v>0</v>
      </c>
      <c r="E48" s="11">
        <f t="shared" ref="E48:E52" si="5">C48*D48</f>
        <v>0</v>
      </c>
    </row>
    <row r="49" ht="22.5" customHeight="1">
      <c r="A49" s="9" t="s">
        <v>790</v>
      </c>
      <c r="B49" s="10" t="s">
        <v>791</v>
      </c>
      <c r="C49" s="11">
        <v>550000.0</v>
      </c>
      <c r="D49" s="12">
        <f>IF($D$2=3,4, 0)</f>
        <v>0</v>
      </c>
      <c r="E49" s="11">
        <f t="shared" si="5"/>
        <v>0</v>
      </c>
    </row>
    <row r="50" ht="22.5" customHeight="1">
      <c r="A50" s="9" t="s">
        <v>90</v>
      </c>
      <c r="B50" s="10" t="s">
        <v>792</v>
      </c>
      <c r="C50" s="11">
        <v>1100000.0</v>
      </c>
      <c r="D50" s="12">
        <f>IF((($D$2&gt;=4)*($D$2&lt;=11))=1,4,0)</f>
        <v>4</v>
      </c>
      <c r="E50" s="11">
        <f t="shared" si="5"/>
        <v>4400000</v>
      </c>
    </row>
    <row r="51" ht="22.5" customHeight="1">
      <c r="A51" s="9" t="s">
        <v>793</v>
      </c>
      <c r="B51" s="10" t="s">
        <v>794</v>
      </c>
      <c r="C51" s="11">
        <v>1300000.0</v>
      </c>
      <c r="D51" s="12"/>
      <c r="E51" s="11">
        <f t="shared" si="5"/>
        <v>0</v>
      </c>
    </row>
    <row r="52" ht="22.5" customHeight="1">
      <c r="A52" s="9" t="s">
        <v>94</v>
      </c>
      <c r="B52" s="10" t="s">
        <v>795</v>
      </c>
      <c r="C52" s="11">
        <v>650000.0</v>
      </c>
      <c r="D52" s="12">
        <f>IF((($D$2&gt;=10)*($D$2&lt;=11))=1,1,0)</f>
        <v>0</v>
      </c>
      <c r="E52" s="11">
        <f t="shared" si="5"/>
        <v>0</v>
      </c>
    </row>
    <row r="53" ht="22.5" customHeight="1">
      <c r="A53" s="6" t="s">
        <v>796</v>
      </c>
      <c r="B53" s="7"/>
      <c r="C53" s="16"/>
      <c r="D53" s="12"/>
      <c r="E53" s="11"/>
    </row>
    <row r="54" ht="22.5" customHeight="1">
      <c r="A54" s="9" t="s">
        <v>797</v>
      </c>
      <c r="B54" s="10" t="s">
        <v>798</v>
      </c>
      <c r="C54" s="11">
        <v>200000.0</v>
      </c>
      <c r="D54" s="12">
        <f>IF((($D$2&gt;=10)*($D$2&lt;=11))=1,2,1)</f>
        <v>1</v>
      </c>
      <c r="E54" s="11">
        <f t="shared" ref="E54:E59" si="6">C54*D54</f>
        <v>200000</v>
      </c>
    </row>
    <row r="55" ht="22.5" customHeight="1">
      <c r="A55" s="9" t="s">
        <v>99</v>
      </c>
      <c r="B55" s="10" t="s">
        <v>799</v>
      </c>
      <c r="C55" s="11">
        <v>300000.0</v>
      </c>
      <c r="D55" s="12"/>
      <c r="E55" s="11">
        <f t="shared" si="6"/>
        <v>0</v>
      </c>
    </row>
    <row r="56" ht="22.5" customHeight="1">
      <c r="A56" s="6" t="s">
        <v>800</v>
      </c>
      <c r="B56" s="7"/>
      <c r="C56" s="16"/>
      <c r="D56" s="12"/>
      <c r="E56" s="11">
        <f t="shared" si="6"/>
        <v>0</v>
      </c>
    </row>
    <row r="57" ht="22.5" customHeight="1">
      <c r="A57" s="9" t="s">
        <v>801</v>
      </c>
      <c r="B57" s="10" t="s">
        <v>802</v>
      </c>
      <c r="C57" s="11">
        <v>200000.0</v>
      </c>
      <c r="D57" s="12"/>
      <c r="E57" s="11">
        <f t="shared" si="6"/>
        <v>0</v>
      </c>
    </row>
    <row r="58" ht="22.5" customHeight="1">
      <c r="A58" s="18" t="s">
        <v>104</v>
      </c>
      <c r="B58" s="7"/>
      <c r="C58" s="16"/>
      <c r="D58" s="12"/>
      <c r="E58" s="11">
        <f t="shared" si="6"/>
        <v>0</v>
      </c>
    </row>
    <row r="59" ht="22.5" customHeight="1">
      <c r="A59" s="9" t="s">
        <v>105</v>
      </c>
      <c r="B59" s="10" t="s">
        <v>803</v>
      </c>
      <c r="C59" s="11">
        <v>650000.0</v>
      </c>
      <c r="D59" s="12"/>
      <c r="E59" s="11">
        <f t="shared" si="6"/>
        <v>0</v>
      </c>
    </row>
    <row r="60" ht="22.5" customHeight="1">
      <c r="A60" s="6" t="s">
        <v>107</v>
      </c>
      <c r="B60" s="7"/>
      <c r="C60" s="16"/>
      <c r="D60" s="12"/>
      <c r="E60" s="11"/>
    </row>
    <row r="61" ht="22.5" customHeight="1">
      <c r="A61" s="6" t="s">
        <v>804</v>
      </c>
      <c r="B61" s="7"/>
      <c r="C61" s="16"/>
      <c r="D61" s="12"/>
      <c r="E61" s="11"/>
    </row>
    <row r="62" ht="22.5" customHeight="1">
      <c r="A62" s="9" t="s">
        <v>805</v>
      </c>
      <c r="B62" s="10" t="s">
        <v>806</v>
      </c>
      <c r="C62" s="11">
        <v>250000.0</v>
      </c>
      <c r="D62" s="12">
        <f>IF((($D$2&gt;=1)*($D$2&lt;=3))=1,4,0)</f>
        <v>0</v>
      </c>
      <c r="E62" s="11">
        <f t="shared" ref="E62:E74" si="7">C62*D62</f>
        <v>0</v>
      </c>
    </row>
    <row r="63" ht="22.5" customHeight="1">
      <c r="A63" s="9" t="s">
        <v>111</v>
      </c>
      <c r="B63" s="10" t="s">
        <v>807</v>
      </c>
      <c r="C63" s="11">
        <v>250000.0</v>
      </c>
      <c r="D63" s="12">
        <f>IF((($D$2&gt;=4)*($D$2&lt;=11))=1,4,0)</f>
        <v>4</v>
      </c>
      <c r="E63" s="11">
        <f t="shared" si="7"/>
        <v>1000000</v>
      </c>
    </row>
    <row r="64" ht="22.5" customHeight="1">
      <c r="A64" s="9" t="s">
        <v>113</v>
      </c>
      <c r="B64" s="10" t="s">
        <v>808</v>
      </c>
      <c r="C64" s="11">
        <v>200000.0</v>
      </c>
      <c r="D64" s="12"/>
      <c r="E64" s="11">
        <f t="shared" si="7"/>
        <v>0</v>
      </c>
    </row>
    <row r="65" ht="22.5" customHeight="1">
      <c r="A65" s="6" t="s">
        <v>115</v>
      </c>
      <c r="B65" s="7"/>
      <c r="C65" s="16"/>
      <c r="D65" s="12"/>
      <c r="E65" s="11">
        <f t="shared" si="7"/>
        <v>0</v>
      </c>
    </row>
    <row r="66" ht="22.5" customHeight="1">
      <c r="A66" s="6" t="s">
        <v>809</v>
      </c>
      <c r="B66" s="7"/>
      <c r="C66" s="16"/>
      <c r="D66" s="12"/>
      <c r="E66" s="11">
        <f t="shared" si="7"/>
        <v>0</v>
      </c>
    </row>
    <row r="67" ht="22.5" customHeight="1">
      <c r="A67" s="9" t="s">
        <v>810</v>
      </c>
      <c r="B67" s="10" t="s">
        <v>118</v>
      </c>
      <c r="C67" s="11">
        <v>50000.0</v>
      </c>
      <c r="D67" s="12">
        <f>ROUNDUP(D2*C2*4/24,0)</f>
        <v>6</v>
      </c>
      <c r="E67" s="11">
        <f t="shared" si="7"/>
        <v>300000</v>
      </c>
    </row>
    <row r="68" ht="22.5" customHeight="1">
      <c r="A68" s="9" t="s">
        <v>119</v>
      </c>
      <c r="B68" s="10" t="s">
        <v>120</v>
      </c>
      <c r="C68" s="11">
        <v>100000.0</v>
      </c>
      <c r="D68" s="12">
        <v>1.0</v>
      </c>
      <c r="E68" s="11">
        <f t="shared" si="7"/>
        <v>100000</v>
      </c>
    </row>
    <row r="69" ht="22.5" customHeight="1">
      <c r="A69" s="9" t="s">
        <v>811</v>
      </c>
      <c r="B69" s="10" t="s">
        <v>812</v>
      </c>
      <c r="C69" s="11">
        <v>60000.0</v>
      </c>
      <c r="D69" s="12">
        <f>D2</f>
        <v>8</v>
      </c>
      <c r="E69" s="11">
        <f t="shared" si="7"/>
        <v>480000</v>
      </c>
    </row>
    <row r="70" ht="22.5" customHeight="1">
      <c r="A70" s="6" t="s">
        <v>813</v>
      </c>
      <c r="B70" s="7"/>
      <c r="C70" s="19"/>
      <c r="D70" s="12"/>
      <c r="E70" s="11">
        <f t="shared" si="7"/>
        <v>0</v>
      </c>
    </row>
    <row r="71" ht="22.5" customHeight="1">
      <c r="A71" s="9" t="s">
        <v>814</v>
      </c>
      <c r="B71" s="10" t="s">
        <v>815</v>
      </c>
      <c r="C71" s="12">
        <v>2000000.0</v>
      </c>
      <c r="D71" s="12"/>
      <c r="E71" s="11">
        <f t="shared" si="7"/>
        <v>0</v>
      </c>
    </row>
    <row r="72" ht="22.5" customHeight="1">
      <c r="A72" s="6" t="s">
        <v>816</v>
      </c>
      <c r="B72" s="7"/>
      <c r="C72" s="19"/>
      <c r="D72" s="12"/>
      <c r="E72" s="11">
        <f t="shared" si="7"/>
        <v>0</v>
      </c>
    </row>
    <row r="73" ht="22.5" customHeight="1">
      <c r="A73" s="9" t="s">
        <v>817</v>
      </c>
      <c r="B73" s="10" t="s">
        <v>818</v>
      </c>
      <c r="C73" s="12">
        <v>16000.0</v>
      </c>
      <c r="D73" s="12">
        <f>D2</f>
        <v>8</v>
      </c>
      <c r="E73" s="11">
        <f t="shared" si="7"/>
        <v>128000</v>
      </c>
    </row>
    <row r="74" ht="22.5" customHeight="1">
      <c r="A74" s="9" t="s">
        <v>129</v>
      </c>
      <c r="B74" s="10" t="s">
        <v>819</v>
      </c>
      <c r="C74" s="12">
        <v>100000.0</v>
      </c>
      <c r="D74" s="12"/>
      <c r="E74" s="11">
        <f t="shared" si="7"/>
        <v>0</v>
      </c>
    </row>
    <row r="75" ht="30.0" customHeight="1">
      <c r="A75" s="20" t="s">
        <v>131</v>
      </c>
      <c r="B75" s="21"/>
      <c r="C75" s="5"/>
      <c r="D75" s="12"/>
      <c r="E75" s="22">
        <f>SUM(E7:E74)</f>
        <v>18478000</v>
      </c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</row>
    <row r="76" ht="36.0" customHeight="1">
      <c r="A76" s="20" t="s">
        <v>132</v>
      </c>
      <c r="B76" s="8"/>
      <c r="C76" s="8"/>
      <c r="D76" s="8"/>
      <c r="E76" s="22">
        <f>E75/D2</f>
        <v>2309750</v>
      </c>
    </row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fitToHeight="0"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93.86"/>
    <col customWidth="1" min="2" max="2" width="20.57"/>
    <col customWidth="1" min="3" max="3" width="29.14"/>
    <col customWidth="1" min="4" max="4" width="21.57"/>
    <col customWidth="1" min="5" max="5" width="25.43"/>
    <col customWidth="1" min="6" max="7" width="9.0"/>
    <col customWidth="1" min="8" max="8" width="7.0"/>
    <col customWidth="1" min="9" max="10" width="20.86"/>
    <col customWidth="1" min="11" max="11" width="18.57"/>
    <col customWidth="1" min="12" max="12" width="20.43"/>
    <col customWidth="1" min="13" max="13" width="18.57"/>
    <col customWidth="1" min="14" max="14" width="27.43"/>
    <col customWidth="1" min="15" max="26" width="9.0"/>
  </cols>
  <sheetData>
    <row r="1" ht="25.5" customHeight="1">
      <c r="A1" s="1" t="s">
        <v>0</v>
      </c>
      <c r="B1" s="1" t="s">
        <v>1</v>
      </c>
      <c r="C1" s="1" t="s">
        <v>2</v>
      </c>
      <c r="D1" s="1" t="s">
        <v>3</v>
      </c>
    </row>
    <row r="2" ht="27.75" customHeight="1">
      <c r="A2" s="2" t="s">
        <v>4</v>
      </c>
      <c r="B2" s="2">
        <v>34.0</v>
      </c>
      <c r="C2" s="2">
        <v>4.0</v>
      </c>
      <c r="D2" s="3">
        <v>9.0</v>
      </c>
    </row>
    <row r="3" ht="27.75" customHeight="1">
      <c r="A3" s="4"/>
      <c r="B3" s="4"/>
      <c r="C3" s="4"/>
    </row>
    <row r="4" ht="35.25" customHeight="1">
      <c r="A4" s="5" t="s">
        <v>820</v>
      </c>
      <c r="B4" s="5" t="s">
        <v>821</v>
      </c>
      <c r="C4" s="5" t="s">
        <v>822</v>
      </c>
      <c r="D4" s="5" t="s">
        <v>8</v>
      </c>
      <c r="E4" s="5" t="s">
        <v>9</v>
      </c>
    </row>
    <row r="5" ht="22.5" customHeight="1">
      <c r="A5" s="6" t="s">
        <v>823</v>
      </c>
      <c r="B5" s="7"/>
      <c r="C5" s="7"/>
      <c r="D5" s="8"/>
      <c r="E5" s="8"/>
    </row>
    <row r="6" ht="22.5" customHeight="1">
      <c r="A6" s="6" t="s">
        <v>824</v>
      </c>
      <c r="B6" s="7"/>
      <c r="C6" s="7"/>
      <c r="D6" s="8"/>
      <c r="E6" s="8"/>
    </row>
    <row r="7" ht="22.5" customHeight="1">
      <c r="A7" s="9" t="s">
        <v>12</v>
      </c>
      <c r="B7" s="10" t="s">
        <v>825</v>
      </c>
      <c r="C7" s="11">
        <v>337500.0</v>
      </c>
      <c r="D7" s="12">
        <v>3.0</v>
      </c>
      <c r="E7" s="11">
        <f t="shared" ref="E7:E11" si="1">C7*D7</f>
        <v>1012500</v>
      </c>
    </row>
    <row r="8" ht="22.5" customHeight="1">
      <c r="A8" s="9" t="s">
        <v>14</v>
      </c>
      <c r="B8" s="10" t="s">
        <v>826</v>
      </c>
      <c r="C8" s="11">
        <v>375000.0</v>
      </c>
      <c r="D8" s="12"/>
      <c r="E8" s="11">
        <f t="shared" si="1"/>
        <v>0</v>
      </c>
      <c r="H8" s="13"/>
      <c r="I8" s="14"/>
      <c r="J8" s="14"/>
      <c r="K8" s="15"/>
      <c r="L8" s="15"/>
      <c r="M8" s="15"/>
      <c r="N8" s="15"/>
    </row>
    <row r="9" ht="22.5" customHeight="1">
      <c r="A9" s="9" t="s">
        <v>16</v>
      </c>
      <c r="B9" s="10" t="s">
        <v>827</v>
      </c>
      <c r="C9" s="11">
        <v>412500.0</v>
      </c>
      <c r="D9" s="12"/>
      <c r="E9" s="11">
        <f t="shared" si="1"/>
        <v>0</v>
      </c>
      <c r="H9" s="13"/>
      <c r="I9" s="14"/>
      <c r="J9" s="14"/>
      <c r="K9" s="15"/>
      <c r="L9" s="15"/>
      <c r="M9" s="15"/>
      <c r="N9" s="15"/>
    </row>
    <row r="10" ht="22.5" customHeight="1">
      <c r="A10" s="9" t="s">
        <v>18</v>
      </c>
      <c r="B10" s="10" t="s">
        <v>828</v>
      </c>
      <c r="C10" s="11">
        <v>487500.0</v>
      </c>
      <c r="D10" s="12"/>
      <c r="E10" s="11">
        <f t="shared" si="1"/>
        <v>0</v>
      </c>
      <c r="H10" s="13"/>
      <c r="I10" s="14"/>
      <c r="J10" s="14"/>
      <c r="K10" s="15"/>
      <c r="L10" s="15"/>
      <c r="M10" s="15"/>
      <c r="N10" s="15"/>
    </row>
    <row r="11" ht="22.5" customHeight="1">
      <c r="A11" s="9" t="s">
        <v>20</v>
      </c>
      <c r="B11" s="10" t="s">
        <v>829</v>
      </c>
      <c r="C11" s="11">
        <v>562500.0</v>
      </c>
      <c r="D11" s="12">
        <v>1.0</v>
      </c>
      <c r="E11" s="11">
        <f t="shared" si="1"/>
        <v>562500</v>
      </c>
      <c r="H11" s="13"/>
      <c r="I11" s="14"/>
      <c r="J11" s="14"/>
      <c r="K11" s="15"/>
      <c r="L11" s="15"/>
      <c r="M11" s="15"/>
      <c r="N11" s="15"/>
    </row>
    <row r="12" ht="22.5" customHeight="1">
      <c r="A12" s="6" t="s">
        <v>830</v>
      </c>
      <c r="B12" s="7"/>
      <c r="C12" s="16"/>
      <c r="D12" s="12"/>
      <c r="E12" s="11"/>
    </row>
    <row r="13" ht="22.5" customHeight="1">
      <c r="A13" s="9" t="s">
        <v>23</v>
      </c>
      <c r="B13" s="10" t="s">
        <v>831</v>
      </c>
      <c r="C13" s="11">
        <v>750000.0</v>
      </c>
      <c r="D13" s="12">
        <v>3.0</v>
      </c>
      <c r="E13" s="11">
        <f t="shared" ref="E13:E27" si="2">C13*D13</f>
        <v>2250000</v>
      </c>
    </row>
    <row r="14" ht="22.5" customHeight="1">
      <c r="A14" s="9" t="s">
        <v>25</v>
      </c>
      <c r="B14" s="10" t="s">
        <v>832</v>
      </c>
      <c r="C14" s="11">
        <v>950000.0</v>
      </c>
      <c r="D14" s="12">
        <v>1.0</v>
      </c>
      <c r="E14" s="11">
        <f t="shared" si="2"/>
        <v>950000</v>
      </c>
    </row>
    <row r="15" ht="22.5" customHeight="1">
      <c r="A15" s="9" t="s">
        <v>27</v>
      </c>
      <c r="B15" s="10" t="s">
        <v>833</v>
      </c>
      <c r="C15" s="11">
        <v>300000.0</v>
      </c>
      <c r="D15" s="12"/>
      <c r="E15" s="11">
        <f t="shared" si="2"/>
        <v>0</v>
      </c>
    </row>
    <row r="16" ht="22.5" customHeight="1">
      <c r="A16" s="6" t="s">
        <v>834</v>
      </c>
      <c r="B16" s="7"/>
      <c r="C16" s="16"/>
      <c r="D16" s="12"/>
      <c r="E16" s="11">
        <f t="shared" si="2"/>
        <v>0</v>
      </c>
    </row>
    <row r="17" ht="22.5" customHeight="1">
      <c r="A17" s="9" t="s">
        <v>30</v>
      </c>
      <c r="B17" s="10" t="s">
        <v>835</v>
      </c>
      <c r="C17" s="11">
        <v>467500.0</v>
      </c>
      <c r="D17" s="12">
        <v>4.0</v>
      </c>
      <c r="E17" s="11">
        <f t="shared" si="2"/>
        <v>1870000</v>
      </c>
    </row>
    <row r="18" ht="22.5" customHeight="1">
      <c r="A18" s="9" t="s">
        <v>32</v>
      </c>
      <c r="B18" s="10" t="s">
        <v>836</v>
      </c>
      <c r="C18" s="11">
        <v>200000.0</v>
      </c>
      <c r="D18" s="12">
        <v>1.0</v>
      </c>
      <c r="E18" s="11">
        <f t="shared" si="2"/>
        <v>200000</v>
      </c>
    </row>
    <row r="19" ht="22.5" customHeight="1">
      <c r="A19" s="9" t="s">
        <v>34</v>
      </c>
      <c r="B19" s="10" t="s">
        <v>837</v>
      </c>
      <c r="C19" s="11">
        <v>260000.0</v>
      </c>
      <c r="D19" s="8"/>
      <c r="E19" s="11">
        <f t="shared" si="2"/>
        <v>0</v>
      </c>
    </row>
    <row r="20" ht="22.5" customHeight="1">
      <c r="A20" s="9" t="s">
        <v>36</v>
      </c>
      <c r="B20" s="10" t="s">
        <v>838</v>
      </c>
      <c r="C20" s="11">
        <v>300000.0</v>
      </c>
      <c r="D20" s="12"/>
      <c r="E20" s="11">
        <f t="shared" si="2"/>
        <v>0</v>
      </c>
    </row>
    <row r="21" ht="22.5" customHeight="1">
      <c r="A21" s="9" t="s">
        <v>839</v>
      </c>
      <c r="B21" s="10" t="s">
        <v>840</v>
      </c>
      <c r="C21" s="11">
        <v>316000.0</v>
      </c>
      <c r="D21" s="12"/>
      <c r="E21" s="11">
        <f t="shared" si="2"/>
        <v>0</v>
      </c>
    </row>
    <row r="22" ht="22.5" customHeight="1">
      <c r="A22" s="9" t="s">
        <v>841</v>
      </c>
      <c r="B22" s="10" t="s">
        <v>842</v>
      </c>
      <c r="C22" s="11">
        <v>380000.0</v>
      </c>
      <c r="D22" s="12"/>
      <c r="E22" s="11">
        <f t="shared" si="2"/>
        <v>0</v>
      </c>
    </row>
    <row r="23" ht="22.5" customHeight="1">
      <c r="A23" s="9" t="s">
        <v>843</v>
      </c>
      <c r="B23" s="10" t="s">
        <v>844</v>
      </c>
      <c r="C23" s="11">
        <v>440000.0</v>
      </c>
      <c r="D23" s="12"/>
      <c r="E23" s="11">
        <f t="shared" si="2"/>
        <v>0</v>
      </c>
    </row>
    <row r="24" ht="22.5" customHeight="1">
      <c r="A24" s="9" t="s">
        <v>44</v>
      </c>
      <c r="B24" s="10" t="s">
        <v>845</v>
      </c>
      <c r="C24" s="11">
        <v>572000.0</v>
      </c>
      <c r="D24" s="12"/>
      <c r="E24" s="11">
        <f t="shared" si="2"/>
        <v>0</v>
      </c>
    </row>
    <row r="25" ht="22.5" customHeight="1">
      <c r="A25" s="9" t="s">
        <v>46</v>
      </c>
      <c r="B25" s="10" t="s">
        <v>846</v>
      </c>
      <c r="C25" s="11">
        <v>617000.0</v>
      </c>
      <c r="D25" s="12"/>
      <c r="E25" s="11">
        <f t="shared" si="2"/>
        <v>0</v>
      </c>
    </row>
    <row r="26" ht="22.5" customHeight="1">
      <c r="A26" s="9" t="s">
        <v>48</v>
      </c>
      <c r="B26" s="10" t="s">
        <v>847</v>
      </c>
      <c r="C26" s="11">
        <v>472000.0</v>
      </c>
      <c r="D26" s="12"/>
      <c r="E26" s="11">
        <f t="shared" si="2"/>
        <v>0</v>
      </c>
    </row>
    <row r="27" ht="22.5" customHeight="1">
      <c r="A27" s="9" t="s">
        <v>50</v>
      </c>
      <c r="B27" s="10" t="s">
        <v>848</v>
      </c>
      <c r="C27" s="11">
        <v>517000.0</v>
      </c>
      <c r="D27" s="12"/>
      <c r="E27" s="11">
        <f t="shared" si="2"/>
        <v>0</v>
      </c>
    </row>
    <row r="28" ht="22.5" customHeight="1">
      <c r="A28" s="6" t="s">
        <v>849</v>
      </c>
      <c r="B28" s="7"/>
      <c r="C28" s="16"/>
      <c r="D28" s="12"/>
      <c r="E28" s="11"/>
    </row>
    <row r="29" ht="22.5" customHeight="1">
      <c r="A29" s="6" t="s">
        <v>850</v>
      </c>
      <c r="B29" s="7"/>
      <c r="C29" s="16"/>
      <c r="D29" s="12"/>
      <c r="E29" s="11"/>
    </row>
    <row r="30" ht="22.5" customHeight="1">
      <c r="A30" s="9" t="s">
        <v>54</v>
      </c>
      <c r="B30" s="10" t="s">
        <v>851</v>
      </c>
      <c r="C30" s="11">
        <v>75000.0</v>
      </c>
      <c r="D30" s="12">
        <f>D2</f>
        <v>9</v>
      </c>
      <c r="E30" s="11">
        <f t="shared" ref="E30:E38" si="3">C30*D30</f>
        <v>675000</v>
      </c>
    </row>
    <row r="31" ht="22.5" customHeight="1">
      <c r="A31" s="9" t="s">
        <v>852</v>
      </c>
      <c r="B31" s="10" t="s">
        <v>853</v>
      </c>
      <c r="C31" s="11">
        <v>55000.0</v>
      </c>
      <c r="D31" s="12"/>
      <c r="E31" s="11">
        <f t="shared" si="3"/>
        <v>0</v>
      </c>
    </row>
    <row r="32" ht="22.5" customHeight="1">
      <c r="A32" s="9" t="s">
        <v>58</v>
      </c>
      <c r="B32" s="10" t="s">
        <v>854</v>
      </c>
      <c r="C32" s="11">
        <v>25000.0</v>
      </c>
      <c r="D32" s="12">
        <f>D2</f>
        <v>9</v>
      </c>
      <c r="E32" s="11">
        <f t="shared" si="3"/>
        <v>225000</v>
      </c>
    </row>
    <row r="33" ht="22.5" customHeight="1">
      <c r="A33" s="9" t="s">
        <v>60</v>
      </c>
      <c r="B33" s="10" t="s">
        <v>855</v>
      </c>
      <c r="C33" s="11">
        <v>250000.0</v>
      </c>
      <c r="D33" s="12">
        <v>1.0</v>
      </c>
      <c r="E33" s="11">
        <f t="shared" si="3"/>
        <v>250000</v>
      </c>
    </row>
    <row r="34" ht="22.5" customHeight="1">
      <c r="A34" s="9" t="s">
        <v>62</v>
      </c>
      <c r="B34" s="10" t="s">
        <v>856</v>
      </c>
      <c r="C34" s="11">
        <v>65000.0</v>
      </c>
      <c r="D34" s="12"/>
      <c r="E34" s="11">
        <f t="shared" si="3"/>
        <v>0</v>
      </c>
    </row>
    <row r="35" ht="22.5" customHeight="1">
      <c r="A35" s="9" t="s">
        <v>64</v>
      </c>
      <c r="B35" s="10" t="s">
        <v>857</v>
      </c>
      <c r="C35" s="11">
        <v>65000.0</v>
      </c>
      <c r="D35" s="12">
        <f>D2</f>
        <v>9</v>
      </c>
      <c r="E35" s="11">
        <f t="shared" si="3"/>
        <v>585000</v>
      </c>
    </row>
    <row r="36" ht="22.5" customHeight="1">
      <c r="A36" s="9" t="s">
        <v>66</v>
      </c>
      <c r="B36" s="10" t="s">
        <v>858</v>
      </c>
      <c r="C36" s="11">
        <v>60000.0</v>
      </c>
      <c r="D36" s="12"/>
      <c r="E36" s="11">
        <f t="shared" si="3"/>
        <v>0</v>
      </c>
    </row>
    <row r="37" ht="22.5" customHeight="1">
      <c r="A37" s="9" t="s">
        <v>68</v>
      </c>
      <c r="B37" s="10" t="s">
        <v>859</v>
      </c>
      <c r="C37" s="11">
        <v>60000.0</v>
      </c>
      <c r="D37" s="12"/>
      <c r="E37" s="11">
        <f t="shared" si="3"/>
        <v>0</v>
      </c>
    </row>
    <row r="38" ht="22.5" customHeight="1">
      <c r="A38" s="9" t="s">
        <v>860</v>
      </c>
      <c r="B38" s="10" t="s">
        <v>861</v>
      </c>
      <c r="C38" s="11">
        <v>35000.0</v>
      </c>
      <c r="D38" s="12"/>
      <c r="E38" s="11">
        <f t="shared" si="3"/>
        <v>0</v>
      </c>
    </row>
    <row r="39" ht="22.5" customHeight="1">
      <c r="A39" s="6" t="s">
        <v>862</v>
      </c>
      <c r="B39" s="7"/>
      <c r="C39" s="17"/>
      <c r="D39" s="12"/>
      <c r="E39" s="11"/>
    </row>
    <row r="40" ht="22.5" customHeight="1">
      <c r="A40" s="9" t="s">
        <v>73</v>
      </c>
      <c r="B40" s="10" t="s">
        <v>863</v>
      </c>
      <c r="C40" s="11">
        <v>160000.0</v>
      </c>
      <c r="D40" s="12">
        <f>D2</f>
        <v>9</v>
      </c>
      <c r="E40" s="11">
        <f t="shared" ref="E40:E45" si="4">C40*D40</f>
        <v>1440000</v>
      </c>
    </row>
    <row r="41" ht="22.5" customHeight="1">
      <c r="A41" s="9" t="s">
        <v>864</v>
      </c>
      <c r="B41" s="10" t="s">
        <v>865</v>
      </c>
      <c r="C41" s="11">
        <v>500000.0</v>
      </c>
      <c r="D41" s="12">
        <f>ROUNDUP(D2/4,0)</f>
        <v>3</v>
      </c>
      <c r="E41" s="11">
        <f t="shared" si="4"/>
        <v>1500000</v>
      </c>
    </row>
    <row r="42" ht="22.5" customHeight="1">
      <c r="A42" s="6" t="s">
        <v>866</v>
      </c>
      <c r="B42" s="7"/>
      <c r="C42" s="17"/>
      <c r="D42" s="12"/>
      <c r="E42" s="11">
        <f t="shared" si="4"/>
        <v>0</v>
      </c>
    </row>
    <row r="43" ht="22.5" customHeight="1">
      <c r="A43" s="9" t="s">
        <v>867</v>
      </c>
      <c r="B43" s="10" t="s">
        <v>868</v>
      </c>
      <c r="C43" s="11">
        <v>150000.0</v>
      </c>
      <c r="D43" s="12">
        <f>$D$2</f>
        <v>9</v>
      </c>
      <c r="E43" s="11">
        <f t="shared" si="4"/>
        <v>1350000</v>
      </c>
    </row>
    <row r="44" ht="22.5" customHeight="1">
      <c r="A44" s="9" t="s">
        <v>80</v>
      </c>
      <c r="B44" s="10" t="s">
        <v>869</v>
      </c>
      <c r="C44" s="11">
        <v>200000.0</v>
      </c>
      <c r="D44" s="12">
        <v>1.0</v>
      </c>
      <c r="E44" s="11">
        <f t="shared" si="4"/>
        <v>200000</v>
      </c>
    </row>
    <row r="45" ht="22.5" customHeight="1">
      <c r="A45" s="9" t="s">
        <v>870</v>
      </c>
      <c r="B45" s="10" t="s">
        <v>871</v>
      </c>
      <c r="C45" s="11">
        <v>50000.0</v>
      </c>
      <c r="D45" s="12">
        <f>$D$2</f>
        <v>9</v>
      </c>
      <c r="E45" s="11">
        <f t="shared" si="4"/>
        <v>450000</v>
      </c>
    </row>
    <row r="46" ht="22.5" customHeight="1">
      <c r="A46" s="6" t="s">
        <v>84</v>
      </c>
      <c r="B46" s="7"/>
      <c r="C46" s="16"/>
      <c r="D46" s="12"/>
      <c r="E46" s="11"/>
    </row>
    <row r="47" ht="22.5" customHeight="1">
      <c r="A47" s="6" t="s">
        <v>872</v>
      </c>
      <c r="B47" s="7"/>
      <c r="C47" s="16"/>
      <c r="D47" s="12"/>
      <c r="E47" s="11"/>
    </row>
    <row r="48" ht="22.5" customHeight="1">
      <c r="A48" s="9" t="s">
        <v>873</v>
      </c>
      <c r="B48" s="10" t="s">
        <v>874</v>
      </c>
      <c r="C48" s="11">
        <v>450000.0</v>
      </c>
      <c r="D48" s="12">
        <f>IF($D$2=1,4, IF($D$2=2,4,0))</f>
        <v>0</v>
      </c>
      <c r="E48" s="11">
        <f t="shared" ref="E48:E52" si="5">C48*D48</f>
        <v>0</v>
      </c>
    </row>
    <row r="49" ht="22.5" customHeight="1">
      <c r="A49" s="9" t="s">
        <v>875</v>
      </c>
      <c r="B49" s="10" t="s">
        <v>876</v>
      </c>
      <c r="C49" s="11">
        <v>550000.0</v>
      </c>
      <c r="D49" s="12">
        <f>IF($D$2=3,4, 0)</f>
        <v>0</v>
      </c>
      <c r="E49" s="11">
        <f t="shared" si="5"/>
        <v>0</v>
      </c>
    </row>
    <row r="50" ht="22.5" customHeight="1">
      <c r="A50" s="9" t="s">
        <v>90</v>
      </c>
      <c r="B50" s="10" t="s">
        <v>877</v>
      </c>
      <c r="C50" s="11">
        <v>1100000.0</v>
      </c>
      <c r="D50" s="12">
        <f>IF((($D$2&gt;=4)*($D$2&lt;=11))=1,4,0)</f>
        <v>4</v>
      </c>
      <c r="E50" s="11">
        <f t="shared" si="5"/>
        <v>4400000</v>
      </c>
    </row>
    <row r="51" ht="22.5" customHeight="1">
      <c r="A51" s="9" t="s">
        <v>878</v>
      </c>
      <c r="B51" s="10" t="s">
        <v>879</v>
      </c>
      <c r="C51" s="11">
        <v>1300000.0</v>
      </c>
      <c r="D51" s="12"/>
      <c r="E51" s="11">
        <f t="shared" si="5"/>
        <v>0</v>
      </c>
    </row>
    <row r="52" ht="22.5" customHeight="1">
      <c r="A52" s="9" t="s">
        <v>94</v>
      </c>
      <c r="B52" s="10" t="s">
        <v>880</v>
      </c>
      <c r="C52" s="11">
        <v>650000.0</v>
      </c>
      <c r="D52" s="12">
        <f>IF((($D$2&gt;=10)*($D$2&lt;=11))=1,1,0)</f>
        <v>0</v>
      </c>
      <c r="E52" s="11">
        <f t="shared" si="5"/>
        <v>0</v>
      </c>
    </row>
    <row r="53" ht="22.5" customHeight="1">
      <c r="A53" s="6" t="s">
        <v>881</v>
      </c>
      <c r="B53" s="7"/>
      <c r="C53" s="16"/>
      <c r="D53" s="12"/>
      <c r="E53" s="11"/>
    </row>
    <row r="54" ht="22.5" customHeight="1">
      <c r="A54" s="9" t="s">
        <v>882</v>
      </c>
      <c r="B54" s="10" t="s">
        <v>883</v>
      </c>
      <c r="C54" s="11">
        <v>200000.0</v>
      </c>
      <c r="D54" s="12">
        <f>IF((($D$2&gt;=10)*($D$2&lt;=11))=1,2,1)</f>
        <v>1</v>
      </c>
      <c r="E54" s="11">
        <f t="shared" ref="E54:E59" si="6">C54*D54</f>
        <v>200000</v>
      </c>
    </row>
    <row r="55" ht="22.5" customHeight="1">
      <c r="A55" s="9" t="s">
        <v>99</v>
      </c>
      <c r="B55" s="10" t="s">
        <v>884</v>
      </c>
      <c r="C55" s="11">
        <v>300000.0</v>
      </c>
      <c r="D55" s="12"/>
      <c r="E55" s="11">
        <f t="shared" si="6"/>
        <v>0</v>
      </c>
    </row>
    <row r="56" ht="22.5" customHeight="1">
      <c r="A56" s="6" t="s">
        <v>885</v>
      </c>
      <c r="B56" s="7"/>
      <c r="C56" s="16"/>
      <c r="D56" s="12"/>
      <c r="E56" s="11">
        <f t="shared" si="6"/>
        <v>0</v>
      </c>
    </row>
    <row r="57" ht="22.5" customHeight="1">
      <c r="A57" s="9" t="s">
        <v>886</v>
      </c>
      <c r="B57" s="10" t="s">
        <v>887</v>
      </c>
      <c r="C57" s="11">
        <v>200000.0</v>
      </c>
      <c r="D57" s="12"/>
      <c r="E57" s="11">
        <f t="shared" si="6"/>
        <v>0</v>
      </c>
    </row>
    <row r="58" ht="22.5" customHeight="1">
      <c r="A58" s="18" t="s">
        <v>104</v>
      </c>
      <c r="B58" s="7"/>
      <c r="C58" s="16"/>
      <c r="D58" s="12"/>
      <c r="E58" s="11">
        <f t="shared" si="6"/>
        <v>0</v>
      </c>
    </row>
    <row r="59" ht="22.5" customHeight="1">
      <c r="A59" s="9" t="s">
        <v>105</v>
      </c>
      <c r="B59" s="10" t="s">
        <v>888</v>
      </c>
      <c r="C59" s="11">
        <v>650000.0</v>
      </c>
      <c r="D59" s="12"/>
      <c r="E59" s="11">
        <f t="shared" si="6"/>
        <v>0</v>
      </c>
    </row>
    <row r="60" ht="22.5" customHeight="1">
      <c r="A60" s="6" t="s">
        <v>107</v>
      </c>
      <c r="B60" s="7"/>
      <c r="C60" s="16"/>
      <c r="D60" s="12"/>
      <c r="E60" s="11"/>
    </row>
    <row r="61" ht="22.5" customHeight="1">
      <c r="A61" s="6" t="s">
        <v>889</v>
      </c>
      <c r="B61" s="7"/>
      <c r="C61" s="16"/>
      <c r="D61" s="12"/>
      <c r="E61" s="11"/>
    </row>
    <row r="62" ht="22.5" customHeight="1">
      <c r="A62" s="9" t="s">
        <v>890</v>
      </c>
      <c r="B62" s="10" t="s">
        <v>891</v>
      </c>
      <c r="C62" s="11">
        <v>250000.0</v>
      </c>
      <c r="D62" s="12">
        <f>IF((($D$2&gt;=1)*($D$2&lt;=3))=1,4,0)</f>
        <v>0</v>
      </c>
      <c r="E62" s="11">
        <f t="shared" ref="E62:E74" si="7">C62*D62</f>
        <v>0</v>
      </c>
    </row>
    <row r="63" ht="22.5" customHeight="1">
      <c r="A63" s="9" t="s">
        <v>111</v>
      </c>
      <c r="B63" s="10" t="s">
        <v>892</v>
      </c>
      <c r="C63" s="11">
        <v>250000.0</v>
      </c>
      <c r="D63" s="12">
        <f>IF((($D$2&gt;=4)*($D$2&lt;=11))=1,4,0)</f>
        <v>4</v>
      </c>
      <c r="E63" s="11">
        <f t="shared" si="7"/>
        <v>1000000</v>
      </c>
    </row>
    <row r="64" ht="22.5" customHeight="1">
      <c r="A64" s="9" t="s">
        <v>113</v>
      </c>
      <c r="B64" s="10" t="s">
        <v>893</v>
      </c>
      <c r="C64" s="11">
        <v>200000.0</v>
      </c>
      <c r="D64" s="12"/>
      <c r="E64" s="11">
        <f t="shared" si="7"/>
        <v>0</v>
      </c>
    </row>
    <row r="65" ht="22.5" customHeight="1">
      <c r="A65" s="6" t="s">
        <v>115</v>
      </c>
      <c r="B65" s="7"/>
      <c r="C65" s="16"/>
      <c r="D65" s="12"/>
      <c r="E65" s="11">
        <f t="shared" si="7"/>
        <v>0</v>
      </c>
    </row>
    <row r="66" ht="22.5" customHeight="1">
      <c r="A66" s="6" t="s">
        <v>894</v>
      </c>
      <c r="B66" s="7"/>
      <c r="C66" s="16"/>
      <c r="D66" s="12"/>
      <c r="E66" s="11">
        <f t="shared" si="7"/>
        <v>0</v>
      </c>
    </row>
    <row r="67" ht="22.5" customHeight="1">
      <c r="A67" s="9" t="s">
        <v>895</v>
      </c>
      <c r="B67" s="10" t="s">
        <v>118</v>
      </c>
      <c r="C67" s="11">
        <v>50000.0</v>
      </c>
      <c r="D67" s="12">
        <f>ROUNDUP(D2*C2*4/24,0)</f>
        <v>6</v>
      </c>
      <c r="E67" s="11">
        <f t="shared" si="7"/>
        <v>300000</v>
      </c>
    </row>
    <row r="68" ht="22.5" customHeight="1">
      <c r="A68" s="9" t="s">
        <v>119</v>
      </c>
      <c r="B68" s="10" t="s">
        <v>120</v>
      </c>
      <c r="C68" s="11">
        <v>100000.0</v>
      </c>
      <c r="D68" s="12">
        <v>1.0</v>
      </c>
      <c r="E68" s="11">
        <f t="shared" si="7"/>
        <v>100000</v>
      </c>
    </row>
    <row r="69" ht="22.5" customHeight="1">
      <c r="A69" s="9" t="s">
        <v>896</v>
      </c>
      <c r="B69" s="10" t="s">
        <v>897</v>
      </c>
      <c r="C69" s="11">
        <v>60000.0</v>
      </c>
      <c r="D69" s="12">
        <f>D2</f>
        <v>9</v>
      </c>
      <c r="E69" s="11">
        <f t="shared" si="7"/>
        <v>540000</v>
      </c>
    </row>
    <row r="70" ht="22.5" customHeight="1">
      <c r="A70" s="6" t="s">
        <v>898</v>
      </c>
      <c r="B70" s="7"/>
      <c r="C70" s="19"/>
      <c r="D70" s="12"/>
      <c r="E70" s="11">
        <f t="shared" si="7"/>
        <v>0</v>
      </c>
    </row>
    <row r="71" ht="22.5" customHeight="1">
      <c r="A71" s="9" t="s">
        <v>899</v>
      </c>
      <c r="B71" s="10" t="s">
        <v>900</v>
      </c>
      <c r="C71" s="12">
        <v>2000000.0</v>
      </c>
      <c r="D71" s="12"/>
      <c r="E71" s="11">
        <f t="shared" si="7"/>
        <v>0</v>
      </c>
    </row>
    <row r="72" ht="22.5" customHeight="1">
      <c r="A72" s="6" t="s">
        <v>901</v>
      </c>
      <c r="B72" s="7"/>
      <c r="C72" s="19"/>
      <c r="D72" s="12"/>
      <c r="E72" s="11">
        <f t="shared" si="7"/>
        <v>0</v>
      </c>
    </row>
    <row r="73" ht="22.5" customHeight="1">
      <c r="A73" s="9" t="s">
        <v>902</v>
      </c>
      <c r="B73" s="10" t="s">
        <v>903</v>
      </c>
      <c r="C73" s="12">
        <v>16000.0</v>
      </c>
      <c r="D73" s="12">
        <f>D2</f>
        <v>9</v>
      </c>
      <c r="E73" s="11">
        <f t="shared" si="7"/>
        <v>144000</v>
      </c>
    </row>
    <row r="74" ht="22.5" customHeight="1">
      <c r="A74" s="9" t="s">
        <v>129</v>
      </c>
      <c r="B74" s="10" t="s">
        <v>904</v>
      </c>
      <c r="C74" s="12">
        <v>100000.0</v>
      </c>
      <c r="D74" s="12"/>
      <c r="E74" s="11">
        <f t="shared" si="7"/>
        <v>0</v>
      </c>
    </row>
    <row r="75" ht="30.0" customHeight="1">
      <c r="A75" s="20" t="s">
        <v>131</v>
      </c>
      <c r="B75" s="21"/>
      <c r="C75" s="5"/>
      <c r="D75" s="12"/>
      <c r="E75" s="22">
        <f>SUM(E7:E74)</f>
        <v>20204000</v>
      </c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</row>
    <row r="76" ht="36.0" customHeight="1">
      <c r="A76" s="20" t="s">
        <v>132</v>
      </c>
      <c r="B76" s="8"/>
      <c r="C76" s="8"/>
      <c r="D76" s="8"/>
      <c r="E76" s="22">
        <f>E75/D2</f>
        <v>2244888.889</v>
      </c>
    </row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fitToHeight="0" paperSize="9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93.86"/>
    <col customWidth="1" min="2" max="2" width="20.57"/>
    <col customWidth="1" min="3" max="3" width="29.14"/>
    <col customWidth="1" min="4" max="4" width="21.57"/>
    <col customWidth="1" min="5" max="5" width="25.43"/>
    <col customWidth="1" min="6" max="7" width="9.0"/>
    <col customWidth="1" min="8" max="8" width="7.0"/>
    <col customWidth="1" min="9" max="10" width="20.86"/>
    <col customWidth="1" min="11" max="11" width="18.57"/>
    <col customWidth="1" min="12" max="12" width="20.43"/>
    <col customWidth="1" min="13" max="13" width="18.57"/>
    <col customWidth="1" min="14" max="14" width="27.43"/>
    <col customWidth="1" min="15" max="26" width="9.0"/>
  </cols>
  <sheetData>
    <row r="1" ht="25.5" customHeight="1">
      <c r="A1" s="1" t="s">
        <v>0</v>
      </c>
      <c r="B1" s="1" t="s">
        <v>1</v>
      </c>
      <c r="C1" s="1" t="s">
        <v>2</v>
      </c>
      <c r="D1" s="1" t="s">
        <v>3</v>
      </c>
    </row>
    <row r="2" ht="27.75" customHeight="1">
      <c r="A2" s="2" t="s">
        <v>4</v>
      </c>
      <c r="B2" s="2">
        <v>34.0</v>
      </c>
      <c r="C2" s="2">
        <v>4.0</v>
      </c>
      <c r="D2" s="3">
        <v>10.0</v>
      </c>
    </row>
    <row r="3" ht="27.75" customHeight="1">
      <c r="A3" s="4"/>
      <c r="B3" s="4"/>
      <c r="C3" s="4"/>
    </row>
    <row r="4" ht="35.25" customHeight="1">
      <c r="A4" s="5" t="s">
        <v>905</v>
      </c>
      <c r="B4" s="5" t="s">
        <v>906</v>
      </c>
      <c r="C4" s="5" t="s">
        <v>907</v>
      </c>
      <c r="D4" s="5" t="s">
        <v>8</v>
      </c>
      <c r="E4" s="5" t="s">
        <v>9</v>
      </c>
    </row>
    <row r="5" ht="22.5" customHeight="1">
      <c r="A5" s="6" t="s">
        <v>908</v>
      </c>
      <c r="B5" s="7"/>
      <c r="C5" s="7"/>
      <c r="D5" s="8"/>
      <c r="E5" s="8"/>
    </row>
    <row r="6" ht="22.5" customHeight="1">
      <c r="A6" s="6" t="s">
        <v>909</v>
      </c>
      <c r="B6" s="7"/>
      <c r="C6" s="7"/>
      <c r="D6" s="8"/>
      <c r="E6" s="8"/>
    </row>
    <row r="7" ht="22.5" customHeight="1">
      <c r="A7" s="9" t="s">
        <v>12</v>
      </c>
      <c r="B7" s="10" t="s">
        <v>910</v>
      </c>
      <c r="C7" s="11">
        <v>337500.0</v>
      </c>
      <c r="D7" s="12">
        <f>ROUNDUP($D$2/2,0)</f>
        <v>5</v>
      </c>
      <c r="E7" s="11">
        <f t="shared" ref="E7:E11" si="1">C7*D7</f>
        <v>1687500</v>
      </c>
    </row>
    <row r="8" ht="22.5" customHeight="1">
      <c r="A8" s="9" t="s">
        <v>14</v>
      </c>
      <c r="B8" s="10" t="s">
        <v>911</v>
      </c>
      <c r="C8" s="11">
        <v>375000.0</v>
      </c>
      <c r="D8" s="12"/>
      <c r="E8" s="11">
        <f t="shared" si="1"/>
        <v>0</v>
      </c>
      <c r="H8" s="13"/>
      <c r="I8" s="14"/>
      <c r="J8" s="14"/>
      <c r="K8" s="15"/>
      <c r="L8" s="15"/>
      <c r="M8" s="15"/>
      <c r="N8" s="15"/>
    </row>
    <row r="9" ht="22.5" customHeight="1">
      <c r="A9" s="9" t="s">
        <v>16</v>
      </c>
      <c r="B9" s="10" t="s">
        <v>912</v>
      </c>
      <c r="C9" s="11">
        <v>412500.0</v>
      </c>
      <c r="D9" s="12"/>
      <c r="E9" s="11">
        <f t="shared" si="1"/>
        <v>0</v>
      </c>
      <c r="H9" s="13"/>
      <c r="I9" s="14"/>
      <c r="J9" s="14"/>
      <c r="K9" s="15"/>
      <c r="L9" s="15"/>
      <c r="M9" s="15"/>
      <c r="N9" s="15"/>
    </row>
    <row r="10" ht="22.5" customHeight="1">
      <c r="A10" s="9" t="s">
        <v>18</v>
      </c>
      <c r="B10" s="10" t="s">
        <v>913</v>
      </c>
      <c r="C10" s="11">
        <v>487500.0</v>
      </c>
      <c r="D10" s="12"/>
      <c r="E10" s="11">
        <f t="shared" si="1"/>
        <v>0</v>
      </c>
      <c r="H10" s="13"/>
      <c r="I10" s="14"/>
      <c r="J10" s="14"/>
      <c r="K10" s="15"/>
      <c r="L10" s="15"/>
      <c r="M10" s="15"/>
      <c r="N10" s="15"/>
    </row>
    <row r="11" ht="22.5" customHeight="1">
      <c r="A11" s="9" t="s">
        <v>20</v>
      </c>
      <c r="B11" s="10" t="s">
        <v>914</v>
      </c>
      <c r="C11" s="11">
        <v>562500.0</v>
      </c>
      <c r="D11" s="12"/>
      <c r="E11" s="11">
        <f t="shared" si="1"/>
        <v>0</v>
      </c>
      <c r="H11" s="13"/>
      <c r="I11" s="14"/>
      <c r="J11" s="14"/>
      <c r="K11" s="15"/>
      <c r="L11" s="15"/>
      <c r="M11" s="15"/>
      <c r="N11" s="15"/>
    </row>
    <row r="12" ht="22.5" customHeight="1">
      <c r="A12" s="6" t="s">
        <v>915</v>
      </c>
      <c r="B12" s="7"/>
      <c r="C12" s="16"/>
      <c r="D12" s="12"/>
      <c r="E12" s="11"/>
    </row>
    <row r="13" ht="22.5" customHeight="1">
      <c r="A13" s="9" t="s">
        <v>23</v>
      </c>
      <c r="B13" s="10" t="s">
        <v>916</v>
      </c>
      <c r="C13" s="11">
        <v>750000.0</v>
      </c>
      <c r="D13" s="12">
        <f>ROUNDUP($D$2/2,0)</f>
        <v>5</v>
      </c>
      <c r="E13" s="11">
        <f t="shared" ref="E13:E27" si="2">C13*D13</f>
        <v>3750000</v>
      </c>
    </row>
    <row r="14" ht="22.5" customHeight="1">
      <c r="A14" s="9" t="s">
        <v>25</v>
      </c>
      <c r="B14" s="10" t="s">
        <v>917</v>
      </c>
      <c r="C14" s="11">
        <v>950000.0</v>
      </c>
      <c r="D14" s="12"/>
      <c r="E14" s="11">
        <f t="shared" si="2"/>
        <v>0</v>
      </c>
    </row>
    <row r="15" ht="22.5" customHeight="1">
      <c r="A15" s="9" t="s">
        <v>27</v>
      </c>
      <c r="B15" s="10" t="s">
        <v>918</v>
      </c>
      <c r="C15" s="11">
        <v>300000.0</v>
      </c>
      <c r="D15" s="12"/>
      <c r="E15" s="11">
        <f t="shared" si="2"/>
        <v>0</v>
      </c>
    </row>
    <row r="16" ht="22.5" customHeight="1">
      <c r="A16" s="6" t="s">
        <v>919</v>
      </c>
      <c r="B16" s="7"/>
      <c r="C16" s="16"/>
      <c r="D16" s="12"/>
      <c r="E16" s="11">
        <f t="shared" si="2"/>
        <v>0</v>
      </c>
    </row>
    <row r="17" ht="22.5" customHeight="1">
      <c r="A17" s="9" t="s">
        <v>30</v>
      </c>
      <c r="B17" s="10" t="s">
        <v>920</v>
      </c>
      <c r="C17" s="11">
        <v>467500.0</v>
      </c>
      <c r="D17" s="12">
        <f>ROUNDUP($D$2/2,0)</f>
        <v>5</v>
      </c>
      <c r="E17" s="11">
        <f t="shared" si="2"/>
        <v>2337500</v>
      </c>
    </row>
    <row r="18" ht="22.5" customHeight="1">
      <c r="A18" s="9" t="s">
        <v>32</v>
      </c>
      <c r="B18" s="10" t="s">
        <v>921</v>
      </c>
      <c r="C18" s="11">
        <v>200000.0</v>
      </c>
      <c r="D18" s="12"/>
      <c r="E18" s="11">
        <f t="shared" si="2"/>
        <v>0</v>
      </c>
    </row>
    <row r="19" ht="22.5" customHeight="1">
      <c r="A19" s="9" t="s">
        <v>34</v>
      </c>
      <c r="B19" s="10" t="s">
        <v>922</v>
      </c>
      <c r="C19" s="11">
        <v>260000.0</v>
      </c>
      <c r="D19" s="8"/>
      <c r="E19" s="11">
        <f t="shared" si="2"/>
        <v>0</v>
      </c>
    </row>
    <row r="20" ht="22.5" customHeight="1">
      <c r="A20" s="9" t="s">
        <v>36</v>
      </c>
      <c r="B20" s="10" t="s">
        <v>923</v>
      </c>
      <c r="C20" s="11">
        <v>300000.0</v>
      </c>
      <c r="D20" s="12"/>
      <c r="E20" s="11">
        <f t="shared" si="2"/>
        <v>0</v>
      </c>
    </row>
    <row r="21" ht="22.5" customHeight="1">
      <c r="A21" s="9" t="s">
        <v>924</v>
      </c>
      <c r="B21" s="10" t="s">
        <v>925</v>
      </c>
      <c r="C21" s="11">
        <v>316000.0</v>
      </c>
      <c r="D21" s="12"/>
      <c r="E21" s="11">
        <f t="shared" si="2"/>
        <v>0</v>
      </c>
    </row>
    <row r="22" ht="22.5" customHeight="1">
      <c r="A22" s="9" t="s">
        <v>926</v>
      </c>
      <c r="B22" s="10" t="s">
        <v>927</v>
      </c>
      <c r="C22" s="11">
        <v>380000.0</v>
      </c>
      <c r="D22" s="12"/>
      <c r="E22" s="11">
        <f t="shared" si="2"/>
        <v>0</v>
      </c>
    </row>
    <row r="23" ht="22.5" customHeight="1">
      <c r="A23" s="9" t="s">
        <v>928</v>
      </c>
      <c r="B23" s="10" t="s">
        <v>929</v>
      </c>
      <c r="C23" s="11">
        <v>440000.0</v>
      </c>
      <c r="D23" s="12"/>
      <c r="E23" s="11">
        <f t="shared" si="2"/>
        <v>0</v>
      </c>
    </row>
    <row r="24" ht="22.5" customHeight="1">
      <c r="A24" s="9" t="s">
        <v>44</v>
      </c>
      <c r="B24" s="10" t="s">
        <v>930</v>
      </c>
      <c r="C24" s="11">
        <v>572000.0</v>
      </c>
      <c r="D24" s="12"/>
      <c r="E24" s="11">
        <f t="shared" si="2"/>
        <v>0</v>
      </c>
    </row>
    <row r="25" ht="22.5" customHeight="1">
      <c r="A25" s="9" t="s">
        <v>46</v>
      </c>
      <c r="B25" s="10" t="s">
        <v>931</v>
      </c>
      <c r="C25" s="11">
        <v>617000.0</v>
      </c>
      <c r="D25" s="12"/>
      <c r="E25" s="11">
        <f t="shared" si="2"/>
        <v>0</v>
      </c>
    </row>
    <row r="26" ht="22.5" customHeight="1">
      <c r="A26" s="9" t="s">
        <v>48</v>
      </c>
      <c r="B26" s="10" t="s">
        <v>932</v>
      </c>
      <c r="C26" s="11">
        <v>472000.0</v>
      </c>
      <c r="D26" s="12"/>
      <c r="E26" s="11">
        <f t="shared" si="2"/>
        <v>0</v>
      </c>
    </row>
    <row r="27" ht="22.5" customHeight="1">
      <c r="A27" s="9" t="s">
        <v>50</v>
      </c>
      <c r="B27" s="10" t="s">
        <v>933</v>
      </c>
      <c r="C27" s="11">
        <v>517000.0</v>
      </c>
      <c r="D27" s="12"/>
      <c r="E27" s="11">
        <f t="shared" si="2"/>
        <v>0</v>
      </c>
    </row>
    <row r="28" ht="22.5" customHeight="1">
      <c r="A28" s="6" t="s">
        <v>934</v>
      </c>
      <c r="B28" s="7"/>
      <c r="C28" s="16"/>
      <c r="D28" s="12"/>
      <c r="E28" s="11"/>
    </row>
    <row r="29" ht="22.5" customHeight="1">
      <c r="A29" s="6" t="s">
        <v>935</v>
      </c>
      <c r="B29" s="7"/>
      <c r="C29" s="16"/>
      <c r="D29" s="12"/>
      <c r="E29" s="11"/>
    </row>
    <row r="30" ht="22.5" customHeight="1">
      <c r="A30" s="9" t="s">
        <v>54</v>
      </c>
      <c r="B30" s="10" t="s">
        <v>936</v>
      </c>
      <c r="C30" s="11">
        <v>75000.0</v>
      </c>
      <c r="D30" s="12">
        <f>D2</f>
        <v>10</v>
      </c>
      <c r="E30" s="11">
        <f t="shared" ref="E30:E38" si="3">C30*D30</f>
        <v>750000</v>
      </c>
    </row>
    <row r="31" ht="22.5" customHeight="1">
      <c r="A31" s="9" t="s">
        <v>937</v>
      </c>
      <c r="B31" s="10" t="s">
        <v>938</v>
      </c>
      <c r="C31" s="11">
        <v>55000.0</v>
      </c>
      <c r="D31" s="12"/>
      <c r="E31" s="11">
        <f t="shared" si="3"/>
        <v>0</v>
      </c>
    </row>
    <row r="32" ht="22.5" customHeight="1">
      <c r="A32" s="9" t="s">
        <v>58</v>
      </c>
      <c r="B32" s="10" t="s">
        <v>939</v>
      </c>
      <c r="C32" s="11">
        <v>25000.0</v>
      </c>
      <c r="D32" s="12">
        <f>D2</f>
        <v>10</v>
      </c>
      <c r="E32" s="11">
        <f t="shared" si="3"/>
        <v>250000</v>
      </c>
    </row>
    <row r="33" ht="22.5" customHeight="1">
      <c r="A33" s="9" t="s">
        <v>60</v>
      </c>
      <c r="B33" s="10" t="s">
        <v>940</v>
      </c>
      <c r="C33" s="11">
        <v>250000.0</v>
      </c>
      <c r="D33" s="12">
        <v>1.0</v>
      </c>
      <c r="E33" s="11">
        <f t="shared" si="3"/>
        <v>250000</v>
      </c>
    </row>
    <row r="34" ht="22.5" customHeight="1">
      <c r="A34" s="9" t="s">
        <v>62</v>
      </c>
      <c r="B34" s="10" t="s">
        <v>941</v>
      </c>
      <c r="C34" s="11">
        <v>65000.0</v>
      </c>
      <c r="D34" s="12"/>
      <c r="E34" s="11">
        <f t="shared" si="3"/>
        <v>0</v>
      </c>
    </row>
    <row r="35" ht="22.5" customHeight="1">
      <c r="A35" s="9" t="s">
        <v>64</v>
      </c>
      <c r="B35" s="10" t="s">
        <v>942</v>
      </c>
      <c r="C35" s="11">
        <v>65000.0</v>
      </c>
      <c r="D35" s="12">
        <f>D2</f>
        <v>10</v>
      </c>
      <c r="E35" s="11">
        <f t="shared" si="3"/>
        <v>650000</v>
      </c>
    </row>
    <row r="36" ht="22.5" customHeight="1">
      <c r="A36" s="9" t="s">
        <v>66</v>
      </c>
      <c r="B36" s="10" t="s">
        <v>943</v>
      </c>
      <c r="C36" s="11">
        <v>60000.0</v>
      </c>
      <c r="D36" s="12"/>
      <c r="E36" s="11">
        <f t="shared" si="3"/>
        <v>0</v>
      </c>
    </row>
    <row r="37" ht="22.5" customHeight="1">
      <c r="A37" s="9" t="s">
        <v>68</v>
      </c>
      <c r="B37" s="10" t="s">
        <v>944</v>
      </c>
      <c r="C37" s="11">
        <v>60000.0</v>
      </c>
      <c r="D37" s="12"/>
      <c r="E37" s="11">
        <f t="shared" si="3"/>
        <v>0</v>
      </c>
    </row>
    <row r="38" ht="22.5" customHeight="1">
      <c r="A38" s="9" t="s">
        <v>945</v>
      </c>
      <c r="B38" s="10" t="s">
        <v>946</v>
      </c>
      <c r="C38" s="11">
        <v>35000.0</v>
      </c>
      <c r="D38" s="12"/>
      <c r="E38" s="11">
        <f t="shared" si="3"/>
        <v>0</v>
      </c>
    </row>
    <row r="39" ht="22.5" customHeight="1">
      <c r="A39" s="6" t="s">
        <v>947</v>
      </c>
      <c r="B39" s="7"/>
      <c r="C39" s="17"/>
      <c r="D39" s="12"/>
      <c r="E39" s="11"/>
    </row>
    <row r="40" ht="22.5" customHeight="1">
      <c r="A40" s="9" t="s">
        <v>73</v>
      </c>
      <c r="B40" s="10" t="s">
        <v>948</v>
      </c>
      <c r="C40" s="11">
        <v>160000.0</v>
      </c>
      <c r="D40" s="12">
        <f>D2</f>
        <v>10</v>
      </c>
      <c r="E40" s="11">
        <f t="shared" ref="E40:E45" si="4">C40*D40</f>
        <v>1600000</v>
      </c>
    </row>
    <row r="41" ht="22.5" customHeight="1">
      <c r="A41" s="9" t="s">
        <v>949</v>
      </c>
      <c r="B41" s="10" t="s">
        <v>950</v>
      </c>
      <c r="C41" s="11">
        <v>500000.0</v>
      </c>
      <c r="D41" s="12">
        <f>ROUNDUP(D2/4,0)</f>
        <v>3</v>
      </c>
      <c r="E41" s="11">
        <f t="shared" si="4"/>
        <v>1500000</v>
      </c>
    </row>
    <row r="42" ht="22.5" customHeight="1">
      <c r="A42" s="6" t="s">
        <v>951</v>
      </c>
      <c r="B42" s="7"/>
      <c r="C42" s="17"/>
      <c r="D42" s="12"/>
      <c r="E42" s="11">
        <f t="shared" si="4"/>
        <v>0</v>
      </c>
    </row>
    <row r="43" ht="22.5" customHeight="1">
      <c r="A43" s="9" t="s">
        <v>952</v>
      </c>
      <c r="B43" s="10" t="s">
        <v>953</v>
      </c>
      <c r="C43" s="11">
        <v>150000.0</v>
      </c>
      <c r="D43" s="12">
        <f>$D$2</f>
        <v>10</v>
      </c>
      <c r="E43" s="11">
        <f t="shared" si="4"/>
        <v>1500000</v>
      </c>
    </row>
    <row r="44" ht="22.5" customHeight="1">
      <c r="A44" s="9" t="s">
        <v>80</v>
      </c>
      <c r="B44" s="10" t="s">
        <v>954</v>
      </c>
      <c r="C44" s="11">
        <v>200000.0</v>
      </c>
      <c r="D44" s="12">
        <v>1.0</v>
      </c>
      <c r="E44" s="11">
        <f t="shared" si="4"/>
        <v>200000</v>
      </c>
    </row>
    <row r="45" ht="22.5" customHeight="1">
      <c r="A45" s="9" t="s">
        <v>955</v>
      </c>
      <c r="B45" s="10" t="s">
        <v>956</v>
      </c>
      <c r="C45" s="11">
        <v>50000.0</v>
      </c>
      <c r="D45" s="12">
        <f>$D$2</f>
        <v>10</v>
      </c>
      <c r="E45" s="11">
        <f t="shared" si="4"/>
        <v>500000</v>
      </c>
    </row>
    <row r="46" ht="22.5" customHeight="1">
      <c r="A46" s="6" t="s">
        <v>84</v>
      </c>
      <c r="B46" s="7"/>
      <c r="C46" s="16"/>
      <c r="D46" s="12"/>
      <c r="E46" s="11"/>
    </row>
    <row r="47" ht="22.5" customHeight="1">
      <c r="A47" s="6" t="s">
        <v>957</v>
      </c>
      <c r="B47" s="7"/>
      <c r="C47" s="16"/>
      <c r="D47" s="12"/>
      <c r="E47" s="11"/>
    </row>
    <row r="48" ht="22.5" customHeight="1">
      <c r="A48" s="9" t="s">
        <v>958</v>
      </c>
      <c r="B48" s="10" t="s">
        <v>959</v>
      </c>
      <c r="C48" s="11">
        <v>450000.0</v>
      </c>
      <c r="D48" s="12">
        <f>IF($D$2=1,4, IF($D$2=2,4,0))</f>
        <v>0</v>
      </c>
      <c r="E48" s="11">
        <f t="shared" ref="E48:E52" si="5">C48*D48</f>
        <v>0</v>
      </c>
    </row>
    <row r="49" ht="22.5" customHeight="1">
      <c r="A49" s="9" t="s">
        <v>960</v>
      </c>
      <c r="B49" s="10" t="s">
        <v>961</v>
      </c>
      <c r="C49" s="11">
        <v>550000.0</v>
      </c>
      <c r="D49" s="12">
        <f>IF($D$2=3,4, 0)</f>
        <v>0</v>
      </c>
      <c r="E49" s="11">
        <f t="shared" si="5"/>
        <v>0</v>
      </c>
    </row>
    <row r="50" ht="22.5" customHeight="1">
      <c r="A50" s="9" t="s">
        <v>90</v>
      </c>
      <c r="B50" s="10" t="s">
        <v>962</v>
      </c>
      <c r="C50" s="11">
        <v>1100000.0</v>
      </c>
      <c r="D50" s="12">
        <f>IF((($D$2&gt;=4)*($D$2&lt;=11))=1,4,0)</f>
        <v>4</v>
      </c>
      <c r="E50" s="11">
        <f t="shared" si="5"/>
        <v>4400000</v>
      </c>
    </row>
    <row r="51" ht="22.5" customHeight="1">
      <c r="A51" s="9" t="s">
        <v>963</v>
      </c>
      <c r="B51" s="10" t="s">
        <v>964</v>
      </c>
      <c r="C51" s="11">
        <v>1300000.0</v>
      </c>
      <c r="D51" s="12"/>
      <c r="E51" s="11">
        <f t="shared" si="5"/>
        <v>0</v>
      </c>
    </row>
    <row r="52" ht="22.5" customHeight="1">
      <c r="A52" s="9" t="s">
        <v>94</v>
      </c>
      <c r="B52" s="10" t="s">
        <v>965</v>
      </c>
      <c r="C52" s="11">
        <v>650000.0</v>
      </c>
      <c r="D52" s="12">
        <v>4.0</v>
      </c>
      <c r="E52" s="11">
        <f t="shared" si="5"/>
        <v>2600000</v>
      </c>
    </row>
    <row r="53" ht="22.5" customHeight="1">
      <c r="A53" s="6" t="s">
        <v>966</v>
      </c>
      <c r="B53" s="7"/>
      <c r="C53" s="16"/>
      <c r="D53" s="12"/>
      <c r="E53" s="11"/>
    </row>
    <row r="54" ht="22.5" customHeight="1">
      <c r="A54" s="9" t="s">
        <v>967</v>
      </c>
      <c r="B54" s="10" t="s">
        <v>968</v>
      </c>
      <c r="C54" s="11">
        <v>200000.0</v>
      </c>
      <c r="D54" s="12">
        <f>IF((($D$2&gt;=10)*($D$2&lt;=11))=1,2,1)</f>
        <v>2</v>
      </c>
      <c r="E54" s="11">
        <f t="shared" ref="E54:E59" si="6">C54*D54</f>
        <v>400000</v>
      </c>
    </row>
    <row r="55" ht="22.5" customHeight="1">
      <c r="A55" s="9" t="s">
        <v>99</v>
      </c>
      <c r="B55" s="10" t="s">
        <v>969</v>
      </c>
      <c r="C55" s="11">
        <v>300000.0</v>
      </c>
      <c r="D55" s="12"/>
      <c r="E55" s="11">
        <f t="shared" si="6"/>
        <v>0</v>
      </c>
    </row>
    <row r="56" ht="22.5" customHeight="1">
      <c r="A56" s="6" t="s">
        <v>970</v>
      </c>
      <c r="B56" s="7"/>
      <c r="C56" s="16"/>
      <c r="D56" s="12"/>
      <c r="E56" s="11">
        <f t="shared" si="6"/>
        <v>0</v>
      </c>
    </row>
    <row r="57" ht="22.5" customHeight="1">
      <c r="A57" s="9" t="s">
        <v>971</v>
      </c>
      <c r="B57" s="10" t="s">
        <v>972</v>
      </c>
      <c r="C57" s="11">
        <v>200000.0</v>
      </c>
      <c r="D57" s="12"/>
      <c r="E57" s="11">
        <f t="shared" si="6"/>
        <v>0</v>
      </c>
    </row>
    <row r="58" ht="22.5" customHeight="1">
      <c r="A58" s="18" t="s">
        <v>104</v>
      </c>
      <c r="B58" s="7"/>
      <c r="C58" s="16"/>
      <c r="D58" s="12"/>
      <c r="E58" s="11">
        <f t="shared" si="6"/>
        <v>0</v>
      </c>
    </row>
    <row r="59" ht="22.5" customHeight="1">
      <c r="A59" s="9" t="s">
        <v>105</v>
      </c>
      <c r="B59" s="10" t="s">
        <v>973</v>
      </c>
      <c r="C59" s="11">
        <v>650000.0</v>
      </c>
      <c r="D59" s="12"/>
      <c r="E59" s="11">
        <f t="shared" si="6"/>
        <v>0</v>
      </c>
    </row>
    <row r="60" ht="22.5" customHeight="1">
      <c r="A60" s="6" t="s">
        <v>107</v>
      </c>
      <c r="B60" s="7"/>
      <c r="C60" s="16"/>
      <c r="D60" s="12"/>
      <c r="E60" s="11"/>
    </row>
    <row r="61" ht="22.5" customHeight="1">
      <c r="A61" s="6" t="s">
        <v>974</v>
      </c>
      <c r="B61" s="7"/>
      <c r="C61" s="16"/>
      <c r="D61" s="12"/>
      <c r="E61" s="11"/>
    </row>
    <row r="62" ht="22.5" customHeight="1">
      <c r="A62" s="9" t="s">
        <v>975</v>
      </c>
      <c r="B62" s="10" t="s">
        <v>976</v>
      </c>
      <c r="C62" s="11">
        <v>250000.0</v>
      </c>
      <c r="D62" s="12">
        <f>IF((($D$2&gt;=1)*($D$2&lt;=3))=1,4,0)</f>
        <v>0</v>
      </c>
      <c r="E62" s="11">
        <f t="shared" ref="E62:E74" si="7">C62*D62</f>
        <v>0</v>
      </c>
    </row>
    <row r="63" ht="22.5" customHeight="1">
      <c r="A63" s="9" t="s">
        <v>111</v>
      </c>
      <c r="B63" s="10" t="s">
        <v>977</v>
      </c>
      <c r="C63" s="11">
        <v>250000.0</v>
      </c>
      <c r="D63" s="12">
        <f>IF((($D$2&gt;=4)*($D$2&lt;=11))=1,4,0)</f>
        <v>4</v>
      </c>
      <c r="E63" s="11">
        <f t="shared" si="7"/>
        <v>1000000</v>
      </c>
    </row>
    <row r="64" ht="22.5" customHeight="1">
      <c r="A64" s="9" t="s">
        <v>113</v>
      </c>
      <c r="B64" s="10" t="s">
        <v>978</v>
      </c>
      <c r="C64" s="11">
        <v>200000.0</v>
      </c>
      <c r="D64" s="12"/>
      <c r="E64" s="11">
        <f t="shared" si="7"/>
        <v>0</v>
      </c>
    </row>
    <row r="65" ht="22.5" customHeight="1">
      <c r="A65" s="6" t="s">
        <v>115</v>
      </c>
      <c r="B65" s="7"/>
      <c r="C65" s="16"/>
      <c r="D65" s="12"/>
      <c r="E65" s="11">
        <f t="shared" si="7"/>
        <v>0</v>
      </c>
    </row>
    <row r="66" ht="22.5" customHeight="1">
      <c r="A66" s="6" t="s">
        <v>979</v>
      </c>
      <c r="B66" s="7"/>
      <c r="C66" s="16"/>
      <c r="D66" s="12"/>
      <c r="E66" s="11">
        <f t="shared" si="7"/>
        <v>0</v>
      </c>
    </row>
    <row r="67" ht="22.5" customHeight="1">
      <c r="A67" s="9" t="s">
        <v>980</v>
      </c>
      <c r="B67" s="10" t="s">
        <v>118</v>
      </c>
      <c r="C67" s="11">
        <v>50000.0</v>
      </c>
      <c r="D67" s="12">
        <f>ROUNDUP(D2*C2*4/24,0)</f>
        <v>7</v>
      </c>
      <c r="E67" s="11">
        <f t="shared" si="7"/>
        <v>350000</v>
      </c>
    </row>
    <row r="68" ht="22.5" customHeight="1">
      <c r="A68" s="9" t="s">
        <v>119</v>
      </c>
      <c r="B68" s="10" t="s">
        <v>120</v>
      </c>
      <c r="C68" s="11">
        <v>100000.0</v>
      </c>
      <c r="D68" s="12">
        <v>1.0</v>
      </c>
      <c r="E68" s="11">
        <f t="shared" si="7"/>
        <v>100000</v>
      </c>
    </row>
    <row r="69" ht="22.5" customHeight="1">
      <c r="A69" s="9" t="s">
        <v>981</v>
      </c>
      <c r="B69" s="10" t="s">
        <v>982</v>
      </c>
      <c r="C69" s="11">
        <v>60000.0</v>
      </c>
      <c r="D69" s="12">
        <f>D2</f>
        <v>10</v>
      </c>
      <c r="E69" s="11">
        <f t="shared" si="7"/>
        <v>600000</v>
      </c>
    </row>
    <row r="70" ht="22.5" customHeight="1">
      <c r="A70" s="6" t="s">
        <v>983</v>
      </c>
      <c r="B70" s="7"/>
      <c r="C70" s="19"/>
      <c r="D70" s="12"/>
      <c r="E70" s="11">
        <f t="shared" si="7"/>
        <v>0</v>
      </c>
    </row>
    <row r="71" ht="22.5" customHeight="1">
      <c r="A71" s="9" t="s">
        <v>984</v>
      </c>
      <c r="B71" s="10" t="s">
        <v>985</v>
      </c>
      <c r="C71" s="12">
        <v>2000000.0</v>
      </c>
      <c r="D71" s="12"/>
      <c r="E71" s="11">
        <f t="shared" si="7"/>
        <v>0</v>
      </c>
    </row>
    <row r="72" ht="22.5" customHeight="1">
      <c r="A72" s="6" t="s">
        <v>986</v>
      </c>
      <c r="B72" s="7"/>
      <c r="C72" s="19"/>
      <c r="D72" s="12"/>
      <c r="E72" s="11">
        <f t="shared" si="7"/>
        <v>0</v>
      </c>
    </row>
    <row r="73" ht="22.5" customHeight="1">
      <c r="A73" s="9" t="s">
        <v>987</v>
      </c>
      <c r="B73" s="10" t="s">
        <v>988</v>
      </c>
      <c r="C73" s="12">
        <v>16000.0</v>
      </c>
      <c r="D73" s="12">
        <f>D2</f>
        <v>10</v>
      </c>
      <c r="E73" s="11">
        <f t="shared" si="7"/>
        <v>160000</v>
      </c>
    </row>
    <row r="74" ht="22.5" customHeight="1">
      <c r="A74" s="9" t="s">
        <v>129</v>
      </c>
      <c r="B74" s="10" t="s">
        <v>989</v>
      </c>
      <c r="C74" s="12">
        <v>100000.0</v>
      </c>
      <c r="D74" s="12"/>
      <c r="E74" s="11">
        <f t="shared" si="7"/>
        <v>0</v>
      </c>
    </row>
    <row r="75" ht="30.0" customHeight="1">
      <c r="A75" s="20" t="s">
        <v>131</v>
      </c>
      <c r="B75" s="21"/>
      <c r="C75" s="5"/>
      <c r="D75" s="12"/>
      <c r="E75" s="22">
        <f>SUM(E7:E74)</f>
        <v>24585000</v>
      </c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</row>
    <row r="76" ht="36.0" customHeight="1">
      <c r="A76" s="20" t="s">
        <v>132</v>
      </c>
      <c r="B76" s="8"/>
      <c r="C76" s="8"/>
      <c r="D76" s="8"/>
      <c r="E76" s="22">
        <f>E75/D2</f>
        <v>2458500</v>
      </c>
    </row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fitToHeight="0" paperSize="9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93.86"/>
    <col customWidth="1" min="2" max="2" width="20.57"/>
    <col customWidth="1" min="3" max="3" width="29.14"/>
    <col customWidth="1" min="4" max="4" width="21.57"/>
    <col customWidth="1" min="5" max="5" width="25.43"/>
    <col customWidth="1" min="6" max="7" width="9.0"/>
    <col customWidth="1" min="8" max="8" width="7.0"/>
    <col customWidth="1" min="9" max="10" width="20.86"/>
    <col customWidth="1" min="11" max="11" width="18.57"/>
    <col customWidth="1" min="12" max="12" width="20.43"/>
    <col customWidth="1" min="13" max="13" width="18.57"/>
    <col customWidth="1" min="14" max="14" width="27.43"/>
    <col customWidth="1" min="15" max="26" width="9.0"/>
  </cols>
  <sheetData>
    <row r="1" ht="25.5" customHeight="1">
      <c r="A1" s="1" t="s">
        <v>0</v>
      </c>
      <c r="B1" s="1" t="s">
        <v>1</v>
      </c>
      <c r="C1" s="1" t="s">
        <v>2</v>
      </c>
      <c r="D1" s="1" t="s">
        <v>3</v>
      </c>
    </row>
    <row r="2" ht="27.75" customHeight="1">
      <c r="A2" s="2" t="s">
        <v>4</v>
      </c>
      <c r="B2" s="2">
        <v>34.0</v>
      </c>
      <c r="C2" s="2">
        <v>4.0</v>
      </c>
      <c r="D2" s="3">
        <v>11.0</v>
      </c>
    </row>
    <row r="3" ht="27.75" customHeight="1">
      <c r="A3" s="4"/>
      <c r="B3" s="4"/>
      <c r="C3" s="4"/>
    </row>
    <row r="4" ht="35.25" customHeight="1">
      <c r="A4" s="5" t="s">
        <v>990</v>
      </c>
      <c r="B4" s="5" t="s">
        <v>991</v>
      </c>
      <c r="C4" s="5" t="s">
        <v>992</v>
      </c>
      <c r="D4" s="5" t="s">
        <v>8</v>
      </c>
      <c r="E4" s="5" t="s">
        <v>9</v>
      </c>
    </row>
    <row r="5" ht="22.5" customHeight="1">
      <c r="A5" s="6" t="s">
        <v>993</v>
      </c>
      <c r="B5" s="7"/>
      <c r="C5" s="7"/>
      <c r="D5" s="8"/>
      <c r="E5" s="8"/>
    </row>
    <row r="6" ht="22.5" customHeight="1">
      <c r="A6" s="6" t="s">
        <v>994</v>
      </c>
      <c r="B6" s="7"/>
      <c r="C6" s="7"/>
      <c r="D6" s="8"/>
      <c r="E6" s="8"/>
    </row>
    <row r="7" ht="22.5" customHeight="1">
      <c r="A7" s="9" t="s">
        <v>12</v>
      </c>
      <c r="B7" s="10" t="s">
        <v>995</v>
      </c>
      <c r="C7" s="11">
        <v>337500.0</v>
      </c>
      <c r="D7" s="12">
        <f>ROUNDUP($D$2/2,0)</f>
        <v>6</v>
      </c>
      <c r="E7" s="11">
        <f t="shared" ref="E7:E11" si="1">C7*D7</f>
        <v>2025000</v>
      </c>
    </row>
    <row r="8" ht="22.5" customHeight="1">
      <c r="A8" s="9" t="s">
        <v>14</v>
      </c>
      <c r="B8" s="10" t="s">
        <v>996</v>
      </c>
      <c r="C8" s="11">
        <v>375000.0</v>
      </c>
      <c r="D8" s="12"/>
      <c r="E8" s="11">
        <f t="shared" si="1"/>
        <v>0</v>
      </c>
      <c r="H8" s="13"/>
      <c r="I8" s="14"/>
      <c r="J8" s="14"/>
      <c r="K8" s="15"/>
      <c r="L8" s="15"/>
      <c r="M8" s="15"/>
      <c r="N8" s="15"/>
    </row>
    <row r="9" ht="22.5" customHeight="1">
      <c r="A9" s="9" t="s">
        <v>16</v>
      </c>
      <c r="B9" s="10" t="s">
        <v>997</v>
      </c>
      <c r="C9" s="11">
        <v>412500.0</v>
      </c>
      <c r="D9" s="12"/>
      <c r="E9" s="11">
        <f t="shared" si="1"/>
        <v>0</v>
      </c>
      <c r="H9" s="13"/>
      <c r="I9" s="14"/>
      <c r="J9" s="14"/>
      <c r="K9" s="15"/>
      <c r="L9" s="15"/>
      <c r="M9" s="15"/>
      <c r="N9" s="15"/>
    </row>
    <row r="10" ht="22.5" customHeight="1">
      <c r="A10" s="9" t="s">
        <v>18</v>
      </c>
      <c r="B10" s="10" t="s">
        <v>998</v>
      </c>
      <c r="C10" s="11">
        <v>487500.0</v>
      </c>
      <c r="D10" s="12"/>
      <c r="E10" s="11">
        <f t="shared" si="1"/>
        <v>0</v>
      </c>
      <c r="H10" s="13"/>
      <c r="I10" s="14"/>
      <c r="J10" s="14"/>
      <c r="K10" s="15"/>
      <c r="L10" s="15"/>
      <c r="M10" s="15"/>
      <c r="N10" s="15"/>
    </row>
    <row r="11" ht="22.5" customHeight="1">
      <c r="A11" s="9" t="s">
        <v>20</v>
      </c>
      <c r="B11" s="10" t="s">
        <v>999</v>
      </c>
      <c r="C11" s="11">
        <v>562500.0</v>
      </c>
      <c r="D11" s="12"/>
      <c r="E11" s="11">
        <f t="shared" si="1"/>
        <v>0</v>
      </c>
      <c r="H11" s="13"/>
      <c r="I11" s="14"/>
      <c r="J11" s="14"/>
      <c r="K11" s="15"/>
      <c r="L11" s="15"/>
      <c r="M11" s="15"/>
      <c r="N11" s="15"/>
    </row>
    <row r="12" ht="22.5" customHeight="1">
      <c r="A12" s="6" t="s">
        <v>1000</v>
      </c>
      <c r="B12" s="7"/>
      <c r="C12" s="16"/>
      <c r="D12" s="12"/>
      <c r="E12" s="11"/>
    </row>
    <row r="13" ht="22.5" customHeight="1">
      <c r="A13" s="9" t="s">
        <v>23</v>
      </c>
      <c r="B13" s="10" t="s">
        <v>1001</v>
      </c>
      <c r="C13" s="11">
        <v>750000.0</v>
      </c>
      <c r="D13" s="12">
        <f>ROUNDUP($D$2/2,0)</f>
        <v>6</v>
      </c>
      <c r="E13" s="11">
        <f t="shared" ref="E13:E27" si="2">C13*D13</f>
        <v>4500000</v>
      </c>
    </row>
    <row r="14" ht="22.5" customHeight="1">
      <c r="A14" s="9" t="s">
        <v>25</v>
      </c>
      <c r="B14" s="10" t="s">
        <v>1002</v>
      </c>
      <c r="C14" s="11">
        <v>950000.0</v>
      </c>
      <c r="D14" s="12"/>
      <c r="E14" s="11">
        <f t="shared" si="2"/>
        <v>0</v>
      </c>
    </row>
    <row r="15" ht="22.5" customHeight="1">
      <c r="A15" s="9" t="s">
        <v>27</v>
      </c>
      <c r="B15" s="10" t="s">
        <v>1003</v>
      </c>
      <c r="C15" s="11">
        <v>300000.0</v>
      </c>
      <c r="D15" s="12"/>
      <c r="E15" s="11">
        <f t="shared" si="2"/>
        <v>0</v>
      </c>
    </row>
    <row r="16" ht="22.5" customHeight="1">
      <c r="A16" s="6" t="s">
        <v>1004</v>
      </c>
      <c r="B16" s="7"/>
      <c r="C16" s="16"/>
      <c r="D16" s="12"/>
      <c r="E16" s="11">
        <f t="shared" si="2"/>
        <v>0</v>
      </c>
    </row>
    <row r="17" ht="22.5" customHeight="1">
      <c r="A17" s="9" t="s">
        <v>30</v>
      </c>
      <c r="B17" s="10" t="s">
        <v>1005</v>
      </c>
      <c r="C17" s="11">
        <v>467500.0</v>
      </c>
      <c r="D17" s="12">
        <f>ROUNDUP($D$2/2,0)</f>
        <v>6</v>
      </c>
      <c r="E17" s="11">
        <f t="shared" si="2"/>
        <v>2805000</v>
      </c>
    </row>
    <row r="18" ht="22.5" customHeight="1">
      <c r="A18" s="9" t="s">
        <v>32</v>
      </c>
      <c r="B18" s="10" t="s">
        <v>1006</v>
      </c>
      <c r="C18" s="11">
        <v>200000.0</v>
      </c>
      <c r="D18" s="12"/>
      <c r="E18" s="11">
        <f t="shared" si="2"/>
        <v>0</v>
      </c>
    </row>
    <row r="19" ht="22.5" customHeight="1">
      <c r="A19" s="9" t="s">
        <v>34</v>
      </c>
      <c r="B19" s="10" t="s">
        <v>1007</v>
      </c>
      <c r="C19" s="11">
        <v>260000.0</v>
      </c>
      <c r="D19" s="8"/>
      <c r="E19" s="11">
        <f t="shared" si="2"/>
        <v>0</v>
      </c>
    </row>
    <row r="20" ht="22.5" customHeight="1">
      <c r="A20" s="9" t="s">
        <v>36</v>
      </c>
      <c r="B20" s="10" t="s">
        <v>1008</v>
      </c>
      <c r="C20" s="11">
        <v>300000.0</v>
      </c>
      <c r="D20" s="12"/>
      <c r="E20" s="11">
        <f t="shared" si="2"/>
        <v>0</v>
      </c>
    </row>
    <row r="21" ht="22.5" customHeight="1">
      <c r="A21" s="9" t="s">
        <v>1009</v>
      </c>
      <c r="B21" s="10" t="s">
        <v>1010</v>
      </c>
      <c r="C21" s="11">
        <v>316000.0</v>
      </c>
      <c r="D21" s="12"/>
      <c r="E21" s="11">
        <f t="shared" si="2"/>
        <v>0</v>
      </c>
    </row>
    <row r="22" ht="22.5" customHeight="1">
      <c r="A22" s="9" t="s">
        <v>1011</v>
      </c>
      <c r="B22" s="10" t="s">
        <v>1012</v>
      </c>
      <c r="C22" s="11">
        <v>380000.0</v>
      </c>
      <c r="D22" s="12"/>
      <c r="E22" s="11">
        <f t="shared" si="2"/>
        <v>0</v>
      </c>
    </row>
    <row r="23" ht="22.5" customHeight="1">
      <c r="A23" s="9" t="s">
        <v>1013</v>
      </c>
      <c r="B23" s="10" t="s">
        <v>1014</v>
      </c>
      <c r="C23" s="11">
        <v>440000.0</v>
      </c>
      <c r="D23" s="12"/>
      <c r="E23" s="11">
        <f t="shared" si="2"/>
        <v>0</v>
      </c>
    </row>
    <row r="24" ht="22.5" customHeight="1">
      <c r="A24" s="9" t="s">
        <v>44</v>
      </c>
      <c r="B24" s="10" t="s">
        <v>1015</v>
      </c>
      <c r="C24" s="11">
        <v>572000.0</v>
      </c>
      <c r="D24" s="12"/>
      <c r="E24" s="11">
        <f t="shared" si="2"/>
        <v>0</v>
      </c>
    </row>
    <row r="25" ht="22.5" customHeight="1">
      <c r="A25" s="9" t="s">
        <v>46</v>
      </c>
      <c r="B25" s="10" t="s">
        <v>1016</v>
      </c>
      <c r="C25" s="11">
        <v>617000.0</v>
      </c>
      <c r="D25" s="12"/>
      <c r="E25" s="11">
        <f t="shared" si="2"/>
        <v>0</v>
      </c>
    </row>
    <row r="26" ht="22.5" customHeight="1">
      <c r="A26" s="9" t="s">
        <v>48</v>
      </c>
      <c r="B26" s="10" t="s">
        <v>1017</v>
      </c>
      <c r="C26" s="11">
        <v>472000.0</v>
      </c>
      <c r="D26" s="12"/>
      <c r="E26" s="11">
        <f t="shared" si="2"/>
        <v>0</v>
      </c>
    </row>
    <row r="27" ht="22.5" customHeight="1">
      <c r="A27" s="9" t="s">
        <v>50</v>
      </c>
      <c r="B27" s="10" t="s">
        <v>1018</v>
      </c>
      <c r="C27" s="11">
        <v>517000.0</v>
      </c>
      <c r="D27" s="12"/>
      <c r="E27" s="11">
        <f t="shared" si="2"/>
        <v>0</v>
      </c>
    </row>
    <row r="28" ht="22.5" customHeight="1">
      <c r="A28" s="6" t="s">
        <v>1019</v>
      </c>
      <c r="B28" s="7"/>
      <c r="C28" s="16"/>
      <c r="D28" s="12"/>
      <c r="E28" s="11"/>
    </row>
    <row r="29" ht="22.5" customHeight="1">
      <c r="A29" s="6" t="s">
        <v>1020</v>
      </c>
      <c r="B29" s="7"/>
      <c r="C29" s="16"/>
      <c r="D29" s="12"/>
      <c r="E29" s="11"/>
    </row>
    <row r="30" ht="22.5" customHeight="1">
      <c r="A30" s="9" t="s">
        <v>54</v>
      </c>
      <c r="B30" s="10" t="s">
        <v>1021</v>
      </c>
      <c r="C30" s="11">
        <v>75000.0</v>
      </c>
      <c r="D30" s="12">
        <f>D2</f>
        <v>11</v>
      </c>
      <c r="E30" s="11">
        <f t="shared" ref="E30:E38" si="3">C30*D30</f>
        <v>825000</v>
      </c>
    </row>
    <row r="31" ht="22.5" customHeight="1">
      <c r="A31" s="9" t="s">
        <v>1022</v>
      </c>
      <c r="B31" s="10" t="s">
        <v>1023</v>
      </c>
      <c r="C31" s="11">
        <v>55000.0</v>
      </c>
      <c r="D31" s="12"/>
      <c r="E31" s="11">
        <f t="shared" si="3"/>
        <v>0</v>
      </c>
    </row>
    <row r="32" ht="22.5" customHeight="1">
      <c r="A32" s="9" t="s">
        <v>58</v>
      </c>
      <c r="B32" s="10" t="s">
        <v>1024</v>
      </c>
      <c r="C32" s="11">
        <v>25000.0</v>
      </c>
      <c r="D32" s="12">
        <f>D2</f>
        <v>11</v>
      </c>
      <c r="E32" s="11">
        <f t="shared" si="3"/>
        <v>275000</v>
      </c>
    </row>
    <row r="33" ht="22.5" customHeight="1">
      <c r="A33" s="9" t="s">
        <v>60</v>
      </c>
      <c r="B33" s="10" t="s">
        <v>1025</v>
      </c>
      <c r="C33" s="11">
        <v>250000.0</v>
      </c>
      <c r="D33" s="12">
        <v>1.0</v>
      </c>
      <c r="E33" s="11">
        <f t="shared" si="3"/>
        <v>250000</v>
      </c>
    </row>
    <row r="34" ht="22.5" customHeight="1">
      <c r="A34" s="9" t="s">
        <v>62</v>
      </c>
      <c r="B34" s="10" t="s">
        <v>1026</v>
      </c>
      <c r="C34" s="11">
        <v>65000.0</v>
      </c>
      <c r="D34" s="12"/>
      <c r="E34" s="11">
        <f t="shared" si="3"/>
        <v>0</v>
      </c>
    </row>
    <row r="35" ht="22.5" customHeight="1">
      <c r="A35" s="9" t="s">
        <v>64</v>
      </c>
      <c r="B35" s="10" t="s">
        <v>1027</v>
      </c>
      <c r="C35" s="11">
        <v>65000.0</v>
      </c>
      <c r="D35" s="12">
        <f>D2</f>
        <v>11</v>
      </c>
      <c r="E35" s="11">
        <f t="shared" si="3"/>
        <v>715000</v>
      </c>
    </row>
    <row r="36" ht="22.5" customHeight="1">
      <c r="A36" s="9" t="s">
        <v>66</v>
      </c>
      <c r="B36" s="10" t="s">
        <v>1028</v>
      </c>
      <c r="C36" s="11">
        <v>60000.0</v>
      </c>
      <c r="D36" s="12"/>
      <c r="E36" s="11">
        <f t="shared" si="3"/>
        <v>0</v>
      </c>
    </row>
    <row r="37" ht="22.5" customHeight="1">
      <c r="A37" s="9" t="s">
        <v>68</v>
      </c>
      <c r="B37" s="10" t="s">
        <v>1029</v>
      </c>
      <c r="C37" s="11">
        <v>60000.0</v>
      </c>
      <c r="D37" s="12"/>
      <c r="E37" s="11">
        <f t="shared" si="3"/>
        <v>0</v>
      </c>
    </row>
    <row r="38" ht="22.5" customHeight="1">
      <c r="A38" s="9" t="s">
        <v>1030</v>
      </c>
      <c r="B38" s="10" t="s">
        <v>1031</v>
      </c>
      <c r="C38" s="11">
        <v>35000.0</v>
      </c>
      <c r="D38" s="12"/>
      <c r="E38" s="11">
        <f t="shared" si="3"/>
        <v>0</v>
      </c>
    </row>
    <row r="39" ht="22.5" customHeight="1">
      <c r="A39" s="6" t="s">
        <v>1032</v>
      </c>
      <c r="B39" s="7"/>
      <c r="C39" s="17"/>
      <c r="D39" s="12"/>
      <c r="E39" s="11"/>
    </row>
    <row r="40" ht="22.5" customHeight="1">
      <c r="A40" s="9" t="s">
        <v>73</v>
      </c>
      <c r="B40" s="10" t="s">
        <v>1033</v>
      </c>
      <c r="C40" s="11">
        <v>160000.0</v>
      </c>
      <c r="D40" s="12">
        <f>D2</f>
        <v>11</v>
      </c>
      <c r="E40" s="11">
        <f t="shared" ref="E40:E45" si="4">C40*D40</f>
        <v>1760000</v>
      </c>
    </row>
    <row r="41" ht="22.5" customHeight="1">
      <c r="A41" s="9" t="s">
        <v>1034</v>
      </c>
      <c r="B41" s="10" t="s">
        <v>1035</v>
      </c>
      <c r="C41" s="11">
        <v>500000.0</v>
      </c>
      <c r="D41" s="12">
        <f>ROUNDUP(D2/4,0)</f>
        <v>3</v>
      </c>
      <c r="E41" s="11">
        <f t="shared" si="4"/>
        <v>1500000</v>
      </c>
    </row>
    <row r="42" ht="22.5" customHeight="1">
      <c r="A42" s="6" t="s">
        <v>1036</v>
      </c>
      <c r="B42" s="7"/>
      <c r="C42" s="17"/>
      <c r="D42" s="12"/>
      <c r="E42" s="11">
        <f t="shared" si="4"/>
        <v>0</v>
      </c>
    </row>
    <row r="43" ht="22.5" customHeight="1">
      <c r="A43" s="9" t="s">
        <v>1037</v>
      </c>
      <c r="B43" s="10" t="s">
        <v>1038</v>
      </c>
      <c r="C43" s="11">
        <v>150000.0</v>
      </c>
      <c r="D43" s="12">
        <f>$D$2</f>
        <v>11</v>
      </c>
      <c r="E43" s="11">
        <f t="shared" si="4"/>
        <v>1650000</v>
      </c>
    </row>
    <row r="44" ht="22.5" customHeight="1">
      <c r="A44" s="9" t="s">
        <v>80</v>
      </c>
      <c r="B44" s="10" t="s">
        <v>1039</v>
      </c>
      <c r="C44" s="11">
        <v>200000.0</v>
      </c>
      <c r="D44" s="12">
        <v>1.0</v>
      </c>
      <c r="E44" s="11">
        <f t="shared" si="4"/>
        <v>200000</v>
      </c>
    </row>
    <row r="45" ht="22.5" customHeight="1">
      <c r="A45" s="9" t="s">
        <v>1040</v>
      </c>
      <c r="B45" s="10" t="s">
        <v>1041</v>
      </c>
      <c r="C45" s="11">
        <v>50000.0</v>
      </c>
      <c r="D45" s="12">
        <f>$D$2</f>
        <v>11</v>
      </c>
      <c r="E45" s="11">
        <f t="shared" si="4"/>
        <v>550000</v>
      </c>
    </row>
    <row r="46" ht="22.5" customHeight="1">
      <c r="A46" s="6" t="s">
        <v>84</v>
      </c>
      <c r="B46" s="7"/>
      <c r="C46" s="16"/>
      <c r="D46" s="12"/>
      <c r="E46" s="11"/>
    </row>
    <row r="47" ht="22.5" customHeight="1">
      <c r="A47" s="6" t="s">
        <v>1042</v>
      </c>
      <c r="B47" s="7"/>
      <c r="C47" s="16"/>
      <c r="D47" s="12"/>
      <c r="E47" s="11"/>
    </row>
    <row r="48" ht="22.5" customHeight="1">
      <c r="A48" s="9" t="s">
        <v>1043</v>
      </c>
      <c r="B48" s="10" t="s">
        <v>1044</v>
      </c>
      <c r="C48" s="11">
        <v>450000.0</v>
      </c>
      <c r="D48" s="12"/>
      <c r="E48" s="11">
        <f t="shared" ref="E48:E52" si="5">C48*D48</f>
        <v>0</v>
      </c>
    </row>
    <row r="49" ht="22.5" customHeight="1">
      <c r="A49" s="9" t="s">
        <v>1045</v>
      </c>
      <c r="B49" s="10" t="s">
        <v>1046</v>
      </c>
      <c r="C49" s="11">
        <v>550000.0</v>
      </c>
      <c r="D49" s="12">
        <f>IF($D$2=3,4, 0)</f>
        <v>0</v>
      </c>
      <c r="E49" s="11">
        <f t="shared" si="5"/>
        <v>0</v>
      </c>
    </row>
    <row r="50" ht="22.5" customHeight="1">
      <c r="A50" s="9" t="s">
        <v>90</v>
      </c>
      <c r="B50" s="10" t="s">
        <v>1047</v>
      </c>
      <c r="C50" s="11">
        <v>1100000.0</v>
      </c>
      <c r="D50" s="12">
        <v>4.0</v>
      </c>
      <c r="E50" s="11">
        <f t="shared" si="5"/>
        <v>4400000</v>
      </c>
    </row>
    <row r="51" ht="22.5" customHeight="1">
      <c r="A51" s="9" t="s">
        <v>1048</v>
      </c>
      <c r="B51" s="10" t="s">
        <v>1049</v>
      </c>
      <c r="C51" s="11">
        <v>1300000.0</v>
      </c>
      <c r="D51" s="12"/>
      <c r="E51" s="11">
        <f t="shared" si="5"/>
        <v>0</v>
      </c>
    </row>
    <row r="52" ht="22.5" customHeight="1">
      <c r="A52" s="9" t="s">
        <v>94</v>
      </c>
      <c r="B52" s="10" t="s">
        <v>1050</v>
      </c>
      <c r="C52" s="11">
        <v>650000.0</v>
      </c>
      <c r="D52" s="12">
        <v>4.0</v>
      </c>
      <c r="E52" s="11">
        <f t="shared" si="5"/>
        <v>2600000</v>
      </c>
    </row>
    <row r="53" ht="22.5" customHeight="1">
      <c r="A53" s="6" t="s">
        <v>1051</v>
      </c>
      <c r="B53" s="7"/>
      <c r="C53" s="16"/>
      <c r="D53" s="12"/>
      <c r="E53" s="11"/>
    </row>
    <row r="54" ht="22.5" customHeight="1">
      <c r="A54" s="9" t="s">
        <v>1052</v>
      </c>
      <c r="B54" s="10" t="s">
        <v>1053</v>
      </c>
      <c r="C54" s="11">
        <v>200000.0</v>
      </c>
      <c r="D54" s="12">
        <v>2.0</v>
      </c>
      <c r="E54" s="11">
        <f t="shared" ref="E54:E59" si="6">C54*D54</f>
        <v>400000</v>
      </c>
    </row>
    <row r="55" ht="22.5" customHeight="1">
      <c r="A55" s="9" t="s">
        <v>99</v>
      </c>
      <c r="B55" s="10" t="s">
        <v>1054</v>
      </c>
      <c r="C55" s="11">
        <v>300000.0</v>
      </c>
      <c r="D55" s="12"/>
      <c r="E55" s="11">
        <f t="shared" si="6"/>
        <v>0</v>
      </c>
    </row>
    <row r="56" ht="22.5" customHeight="1">
      <c r="A56" s="6" t="s">
        <v>1055</v>
      </c>
      <c r="B56" s="7"/>
      <c r="C56" s="16"/>
      <c r="D56" s="12"/>
      <c r="E56" s="11">
        <f t="shared" si="6"/>
        <v>0</v>
      </c>
    </row>
    <row r="57" ht="22.5" customHeight="1">
      <c r="A57" s="9" t="s">
        <v>1056</v>
      </c>
      <c r="B57" s="10" t="s">
        <v>1057</v>
      </c>
      <c r="C57" s="11">
        <v>200000.0</v>
      </c>
      <c r="D57" s="12"/>
      <c r="E57" s="11">
        <f t="shared" si="6"/>
        <v>0</v>
      </c>
    </row>
    <row r="58" ht="22.5" customHeight="1">
      <c r="A58" s="18" t="s">
        <v>104</v>
      </c>
      <c r="B58" s="7"/>
      <c r="C58" s="16"/>
      <c r="D58" s="12"/>
      <c r="E58" s="11">
        <f t="shared" si="6"/>
        <v>0</v>
      </c>
    </row>
    <row r="59" ht="22.5" customHeight="1">
      <c r="A59" s="9" t="s">
        <v>105</v>
      </c>
      <c r="B59" s="10" t="s">
        <v>1058</v>
      </c>
      <c r="C59" s="11">
        <v>650000.0</v>
      </c>
      <c r="D59" s="12"/>
      <c r="E59" s="11">
        <f t="shared" si="6"/>
        <v>0</v>
      </c>
    </row>
    <row r="60" ht="22.5" customHeight="1">
      <c r="A60" s="6" t="s">
        <v>107</v>
      </c>
      <c r="B60" s="7"/>
      <c r="C60" s="16"/>
      <c r="D60" s="12"/>
      <c r="E60" s="11"/>
    </row>
    <row r="61" ht="22.5" customHeight="1">
      <c r="A61" s="6" t="s">
        <v>1059</v>
      </c>
      <c r="B61" s="7"/>
      <c r="C61" s="16"/>
      <c r="D61" s="12"/>
      <c r="E61" s="11"/>
    </row>
    <row r="62" ht="22.5" customHeight="1">
      <c r="A62" s="9" t="s">
        <v>1060</v>
      </c>
      <c r="B62" s="10" t="s">
        <v>1061</v>
      </c>
      <c r="C62" s="11">
        <v>250000.0</v>
      </c>
      <c r="D62" s="12">
        <f>IF((($D$2&gt;=1)*($D$2&lt;=3))=1,4,0)</f>
        <v>0</v>
      </c>
      <c r="E62" s="11">
        <f t="shared" ref="E62:E74" si="7">C62*D62</f>
        <v>0</v>
      </c>
    </row>
    <row r="63" ht="22.5" customHeight="1">
      <c r="A63" s="9" t="s">
        <v>111</v>
      </c>
      <c r="B63" s="10" t="s">
        <v>1062</v>
      </c>
      <c r="C63" s="11">
        <v>250000.0</v>
      </c>
      <c r="D63" s="12">
        <f>IF((($D$2&gt;=4)*($D$2&lt;=11))=1,4,0)</f>
        <v>4</v>
      </c>
      <c r="E63" s="11">
        <f t="shared" si="7"/>
        <v>1000000</v>
      </c>
    </row>
    <row r="64" ht="22.5" customHeight="1">
      <c r="A64" s="9" t="s">
        <v>113</v>
      </c>
      <c r="B64" s="10" t="s">
        <v>1063</v>
      </c>
      <c r="C64" s="11">
        <v>200000.0</v>
      </c>
      <c r="D64" s="12"/>
      <c r="E64" s="11">
        <f t="shared" si="7"/>
        <v>0</v>
      </c>
    </row>
    <row r="65" ht="22.5" customHeight="1">
      <c r="A65" s="6" t="s">
        <v>115</v>
      </c>
      <c r="B65" s="7"/>
      <c r="C65" s="16"/>
      <c r="D65" s="12"/>
      <c r="E65" s="11">
        <f t="shared" si="7"/>
        <v>0</v>
      </c>
    </row>
    <row r="66" ht="22.5" customHeight="1">
      <c r="A66" s="6" t="s">
        <v>1064</v>
      </c>
      <c r="B66" s="7"/>
      <c r="C66" s="16"/>
      <c r="D66" s="12"/>
      <c r="E66" s="11">
        <f t="shared" si="7"/>
        <v>0</v>
      </c>
    </row>
    <row r="67" ht="22.5" customHeight="1">
      <c r="A67" s="9" t="s">
        <v>1065</v>
      </c>
      <c r="B67" s="10" t="s">
        <v>118</v>
      </c>
      <c r="C67" s="11">
        <v>50000.0</v>
      </c>
      <c r="D67" s="12">
        <f>ROUNDUP(D2*C2*4/24,0)</f>
        <v>8</v>
      </c>
      <c r="E67" s="11">
        <f t="shared" si="7"/>
        <v>400000</v>
      </c>
    </row>
    <row r="68" ht="22.5" customHeight="1">
      <c r="A68" s="9" t="s">
        <v>119</v>
      </c>
      <c r="B68" s="10" t="s">
        <v>120</v>
      </c>
      <c r="C68" s="11">
        <v>100000.0</v>
      </c>
      <c r="D68" s="12">
        <v>1.0</v>
      </c>
      <c r="E68" s="11">
        <f t="shared" si="7"/>
        <v>100000</v>
      </c>
    </row>
    <row r="69" ht="22.5" customHeight="1">
      <c r="A69" s="9" t="s">
        <v>1066</v>
      </c>
      <c r="B69" s="10" t="s">
        <v>1067</v>
      </c>
      <c r="C69" s="11">
        <v>60000.0</v>
      </c>
      <c r="D69" s="12">
        <f>D2</f>
        <v>11</v>
      </c>
      <c r="E69" s="11">
        <f t="shared" si="7"/>
        <v>660000</v>
      </c>
    </row>
    <row r="70" ht="22.5" customHeight="1">
      <c r="A70" s="6" t="s">
        <v>1068</v>
      </c>
      <c r="B70" s="7"/>
      <c r="C70" s="19"/>
      <c r="D70" s="12"/>
      <c r="E70" s="11">
        <f t="shared" si="7"/>
        <v>0</v>
      </c>
    </row>
    <row r="71" ht="22.5" customHeight="1">
      <c r="A71" s="9" t="s">
        <v>1069</v>
      </c>
      <c r="B71" s="10" t="s">
        <v>1070</v>
      </c>
      <c r="C71" s="12">
        <v>2000000.0</v>
      </c>
      <c r="D71" s="12"/>
      <c r="E71" s="11">
        <f t="shared" si="7"/>
        <v>0</v>
      </c>
    </row>
    <row r="72" ht="22.5" customHeight="1">
      <c r="A72" s="6" t="s">
        <v>1071</v>
      </c>
      <c r="B72" s="7"/>
      <c r="C72" s="19"/>
      <c r="D72" s="12"/>
      <c r="E72" s="11">
        <f t="shared" si="7"/>
        <v>0</v>
      </c>
    </row>
    <row r="73" ht="22.5" customHeight="1">
      <c r="A73" s="9" t="s">
        <v>1072</v>
      </c>
      <c r="B73" s="10" t="s">
        <v>1073</v>
      </c>
      <c r="C73" s="12">
        <v>16000.0</v>
      </c>
      <c r="D73" s="12">
        <f>D2</f>
        <v>11</v>
      </c>
      <c r="E73" s="11">
        <f t="shared" si="7"/>
        <v>176000</v>
      </c>
    </row>
    <row r="74" ht="22.5" customHeight="1">
      <c r="A74" s="9" t="s">
        <v>129</v>
      </c>
      <c r="B74" s="10" t="s">
        <v>1074</v>
      </c>
      <c r="C74" s="12">
        <v>100000.0</v>
      </c>
      <c r="D74" s="12"/>
      <c r="E74" s="11">
        <f t="shared" si="7"/>
        <v>0</v>
      </c>
    </row>
    <row r="75" ht="30.0" customHeight="1">
      <c r="A75" s="20" t="s">
        <v>131</v>
      </c>
      <c r="B75" s="21"/>
      <c r="C75" s="5"/>
      <c r="D75" s="12"/>
      <c r="E75" s="22">
        <f>SUM(E7:E74)</f>
        <v>26791000</v>
      </c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</row>
    <row r="76" ht="36.0" customHeight="1">
      <c r="A76" s="20" t="s">
        <v>132</v>
      </c>
      <c r="B76" s="8"/>
      <c r="C76" s="8"/>
      <c r="D76" s="8"/>
      <c r="E76" s="22">
        <f>E75/D2</f>
        <v>2435545.455</v>
      </c>
    </row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fitToHeight="0"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2023-11-29T03:56:29Z</dcterms:created>
  <dc:creator>User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2023-10-12T00:00:00Z</vt:filetime>
  </property>
  <property fmtid="{D5CDD505-2E9C-101B-9397-08002B2CF9AE}" pid="3" name="Creator">
    <vt:lpwstr>Microsoft® Excel® 2021</vt:lpwstr>
  </property>
  <property fmtid="{D5CDD505-2E9C-101B-9397-08002B2CF9AE}" pid="4" name="LastSaved">
    <vt:filetime>2023-11-29T00:00:00Z</vt:filetime>
  </property>
  <property fmtid="{D5CDD505-2E9C-101B-9397-08002B2CF9AE}" pid="5" name="Producer">
    <vt:lpwstr>Microsoft® Excel® 2021</vt:lpwstr>
  </property>
</Properties>
</file>