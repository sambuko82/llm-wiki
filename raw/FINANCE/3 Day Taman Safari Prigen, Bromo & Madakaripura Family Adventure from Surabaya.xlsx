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4eef56aa7984708/New folder (2)/REBUILD/PACKAGE/JVTO/Expense/"/>
    </mc:Choice>
  </mc:AlternateContent>
  <xr:revisionPtr revIDLastSave="961" documentId="8_{49DE2DE6-D929-4DA0-BB4F-4F6EC9A2F1B6}" xr6:coauthVersionLast="47" xr6:coauthVersionMax="47" xr10:uidLastSave="{7DBB7DEA-D86F-44CA-95E3-C3657D196573}"/>
  <bookViews>
    <workbookView xWindow="-105" yWindow="0" windowWidth="19410" windowHeight="15585" activeTab="1" xr2:uid="{00000000-000D-0000-FFFF-FFFF00000000}"/>
  </bookViews>
  <sheets>
    <sheet name="Calculation" sheetId="2" state="hidden" r:id="rId1"/>
    <sheet name="Summary" sheetId="3" r:id="rId2"/>
    <sheet name="8 Pax Ori" sheetId="4" state="hidden" r:id="rId3"/>
    <sheet name="12 Pax Ori" sheetId="10" state="hidden" r:id="rId4"/>
    <sheet name="2 Pax Safari" sheetId="11" r:id="rId5"/>
    <sheet name="3 Pax Safari" sheetId="12" r:id="rId6"/>
    <sheet name="4 Pax Safari" sheetId="13" r:id="rId7"/>
    <sheet name="5 Pax Safari" sheetId="14" r:id="rId8"/>
    <sheet name="6 Pax Safari" sheetId="15" r:id="rId9"/>
    <sheet name="7 Pax Safari" sheetId="16" r:id="rId10"/>
    <sheet name="8 Pax Safari" sheetId="17" r:id="rId11"/>
    <sheet name="9 Pax Safari" sheetId="18" r:id="rId12"/>
    <sheet name="10 Pax Safari" sheetId="19" r:id="rId13"/>
    <sheet name="11 Pax Safari" sheetId="20" r:id="rId14"/>
    <sheet name="12 Pax Safari" sheetId="21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B3" i="3"/>
  <c r="B2" i="3"/>
  <c r="E45" i="21"/>
  <c r="E44" i="21"/>
  <c r="E43" i="21"/>
  <c r="D43" i="21"/>
  <c r="E42" i="21"/>
  <c r="D41" i="21"/>
  <c r="E41" i="21" s="1"/>
  <c r="E38" i="21"/>
  <c r="E37" i="21"/>
  <c r="E36" i="21"/>
  <c r="D36" i="21"/>
  <c r="E33" i="21"/>
  <c r="E32" i="21"/>
  <c r="J30" i="21"/>
  <c r="E30" i="21"/>
  <c r="E29" i="21"/>
  <c r="E28" i="21"/>
  <c r="E27" i="21"/>
  <c r="E26" i="21"/>
  <c r="E23" i="21"/>
  <c r="E22" i="21"/>
  <c r="D21" i="21"/>
  <c r="E21" i="21" s="1"/>
  <c r="E20" i="21"/>
  <c r="E18" i="21"/>
  <c r="D17" i="21"/>
  <c r="E17" i="21" s="1"/>
  <c r="D15" i="21"/>
  <c r="E15" i="21" s="1"/>
  <c r="D14" i="21"/>
  <c r="E14" i="21" s="1"/>
  <c r="E11" i="21"/>
  <c r="E10" i="21"/>
  <c r="E8" i="21"/>
  <c r="E7" i="21"/>
  <c r="E6" i="21"/>
  <c r="E45" i="20"/>
  <c r="E44" i="20"/>
  <c r="D43" i="20"/>
  <c r="E43" i="20" s="1"/>
  <c r="E42" i="20"/>
  <c r="E41" i="20"/>
  <c r="D41" i="20"/>
  <c r="E38" i="20"/>
  <c r="D37" i="20"/>
  <c r="E37" i="20" s="1"/>
  <c r="D36" i="20"/>
  <c r="E36" i="20" s="1"/>
  <c r="E33" i="20"/>
  <c r="D32" i="20"/>
  <c r="E32" i="20" s="1"/>
  <c r="J30" i="20"/>
  <c r="E30" i="20"/>
  <c r="E29" i="20"/>
  <c r="D28" i="20"/>
  <c r="E28" i="20" s="1"/>
  <c r="E27" i="20"/>
  <c r="E26" i="20"/>
  <c r="E23" i="20"/>
  <c r="E22" i="20"/>
  <c r="D21" i="20"/>
  <c r="E21" i="20" s="1"/>
  <c r="E20" i="20"/>
  <c r="E18" i="20"/>
  <c r="E17" i="20"/>
  <c r="D17" i="20"/>
  <c r="D15" i="20"/>
  <c r="E15" i="20" s="1"/>
  <c r="D14" i="20"/>
  <c r="E14" i="20" s="1"/>
  <c r="E11" i="20"/>
  <c r="E10" i="20"/>
  <c r="E8" i="20"/>
  <c r="E7" i="20"/>
  <c r="E6" i="20"/>
  <c r="J30" i="19"/>
  <c r="E45" i="19"/>
  <c r="E44" i="19"/>
  <c r="D43" i="19"/>
  <c r="E43" i="19" s="1"/>
  <c r="E42" i="19"/>
  <c r="D41" i="19"/>
  <c r="E41" i="19" s="1"/>
  <c r="E38" i="19"/>
  <c r="D37" i="19"/>
  <c r="E37" i="19" s="1"/>
  <c r="D36" i="19"/>
  <c r="E36" i="19" s="1"/>
  <c r="E33" i="19"/>
  <c r="D32" i="19"/>
  <c r="E32" i="19" s="1"/>
  <c r="E30" i="19"/>
  <c r="E29" i="19"/>
  <c r="D28" i="19"/>
  <c r="E28" i="19" s="1"/>
  <c r="E27" i="19"/>
  <c r="E26" i="19"/>
  <c r="E23" i="19"/>
  <c r="E22" i="19"/>
  <c r="D21" i="19"/>
  <c r="E21" i="19" s="1"/>
  <c r="E20" i="19"/>
  <c r="E18" i="19"/>
  <c r="D17" i="19"/>
  <c r="E17" i="19" s="1"/>
  <c r="D15" i="19"/>
  <c r="E15" i="19" s="1"/>
  <c r="D14" i="19"/>
  <c r="E14" i="19" s="1"/>
  <c r="E11" i="19"/>
  <c r="E10" i="19"/>
  <c r="E8" i="19"/>
  <c r="E7" i="19"/>
  <c r="E6" i="19"/>
  <c r="E45" i="18"/>
  <c r="E44" i="18"/>
  <c r="D43" i="18"/>
  <c r="E43" i="18" s="1"/>
  <c r="E42" i="18"/>
  <c r="D41" i="18"/>
  <c r="E41" i="18" s="1"/>
  <c r="E38" i="18"/>
  <c r="D37" i="18"/>
  <c r="E37" i="18" s="1"/>
  <c r="D36" i="18"/>
  <c r="E36" i="18" s="1"/>
  <c r="E33" i="18"/>
  <c r="D32" i="18"/>
  <c r="E32" i="18" s="1"/>
  <c r="D30" i="18"/>
  <c r="E30" i="18" s="1"/>
  <c r="E29" i="18"/>
  <c r="D28" i="18"/>
  <c r="E28" i="18" s="1"/>
  <c r="E27" i="18"/>
  <c r="E26" i="18"/>
  <c r="E23" i="18"/>
  <c r="E22" i="18"/>
  <c r="D21" i="18"/>
  <c r="E21" i="18" s="1"/>
  <c r="E20" i="18"/>
  <c r="E18" i="18"/>
  <c r="D17" i="18"/>
  <c r="E17" i="18" s="1"/>
  <c r="D15" i="18"/>
  <c r="E15" i="18" s="1"/>
  <c r="D14" i="18"/>
  <c r="E14" i="18" s="1"/>
  <c r="E11" i="18"/>
  <c r="E10" i="18"/>
  <c r="E8" i="18"/>
  <c r="E7" i="18"/>
  <c r="E6" i="18"/>
  <c r="E45" i="17"/>
  <c r="E44" i="17"/>
  <c r="D43" i="17"/>
  <c r="E43" i="17" s="1"/>
  <c r="E42" i="17"/>
  <c r="D41" i="17"/>
  <c r="E41" i="17" s="1"/>
  <c r="E38" i="17"/>
  <c r="D37" i="17"/>
  <c r="E37" i="17" s="1"/>
  <c r="D36" i="17"/>
  <c r="E36" i="17" s="1"/>
  <c r="E33" i="17"/>
  <c r="D32" i="17"/>
  <c r="E32" i="17" s="1"/>
  <c r="D30" i="17"/>
  <c r="E30" i="17" s="1"/>
  <c r="E29" i="17"/>
  <c r="D28" i="17"/>
  <c r="E28" i="17" s="1"/>
  <c r="E27" i="17"/>
  <c r="E26" i="17"/>
  <c r="E23" i="17"/>
  <c r="E22" i="17"/>
  <c r="D21" i="17"/>
  <c r="E21" i="17" s="1"/>
  <c r="E20" i="17"/>
  <c r="E18" i="17"/>
  <c r="D17" i="17"/>
  <c r="E17" i="17" s="1"/>
  <c r="D15" i="17"/>
  <c r="E15" i="17" s="1"/>
  <c r="D14" i="17"/>
  <c r="E14" i="17" s="1"/>
  <c r="E11" i="17"/>
  <c r="E10" i="17"/>
  <c r="E8" i="17"/>
  <c r="E7" i="17"/>
  <c r="E6" i="17"/>
  <c r="E45" i="16"/>
  <c r="E44" i="16"/>
  <c r="D43" i="16"/>
  <c r="E43" i="16" s="1"/>
  <c r="E42" i="16"/>
  <c r="D41" i="16"/>
  <c r="E41" i="16" s="1"/>
  <c r="E38" i="16"/>
  <c r="D37" i="16"/>
  <c r="E37" i="16" s="1"/>
  <c r="D36" i="16"/>
  <c r="E36" i="16" s="1"/>
  <c r="E33" i="16"/>
  <c r="D32" i="16"/>
  <c r="E32" i="16" s="1"/>
  <c r="D30" i="16"/>
  <c r="E30" i="16" s="1"/>
  <c r="E29" i="16"/>
  <c r="D28" i="16"/>
  <c r="E28" i="16" s="1"/>
  <c r="E27" i="16"/>
  <c r="E26" i="16"/>
  <c r="E23" i="16"/>
  <c r="E22" i="16"/>
  <c r="D21" i="16"/>
  <c r="E21" i="16" s="1"/>
  <c r="E20" i="16"/>
  <c r="E18" i="16"/>
  <c r="D17" i="16"/>
  <c r="E17" i="16" s="1"/>
  <c r="D15" i="16"/>
  <c r="E15" i="16" s="1"/>
  <c r="D14" i="16"/>
  <c r="E14" i="16" s="1"/>
  <c r="E11" i="16"/>
  <c r="E10" i="16"/>
  <c r="E8" i="16"/>
  <c r="E7" i="16"/>
  <c r="E6" i="16"/>
  <c r="E45" i="15"/>
  <c r="E44" i="15"/>
  <c r="D43" i="15"/>
  <c r="E43" i="15" s="1"/>
  <c r="E42" i="15"/>
  <c r="D41" i="15"/>
  <c r="E41" i="15" s="1"/>
  <c r="E38" i="15"/>
  <c r="D37" i="15"/>
  <c r="E37" i="15" s="1"/>
  <c r="D36" i="15"/>
  <c r="E36" i="15" s="1"/>
  <c r="E33" i="15"/>
  <c r="D32" i="15"/>
  <c r="E32" i="15" s="1"/>
  <c r="D30" i="15"/>
  <c r="E30" i="15" s="1"/>
  <c r="E29" i="15"/>
  <c r="D28" i="15"/>
  <c r="E28" i="15" s="1"/>
  <c r="E27" i="15"/>
  <c r="E26" i="15"/>
  <c r="E23" i="15"/>
  <c r="E22" i="15"/>
  <c r="D21" i="15"/>
  <c r="E21" i="15" s="1"/>
  <c r="E20" i="15"/>
  <c r="E18" i="15"/>
  <c r="D17" i="15"/>
  <c r="E17" i="15" s="1"/>
  <c r="E15" i="15"/>
  <c r="D15" i="15"/>
  <c r="D14" i="15"/>
  <c r="E14" i="15" s="1"/>
  <c r="E11" i="15"/>
  <c r="E10" i="15"/>
  <c r="E8" i="15"/>
  <c r="E7" i="15"/>
  <c r="E6" i="15"/>
  <c r="D28" i="13"/>
  <c r="E28" i="13" s="1"/>
  <c r="D28" i="14"/>
  <c r="E28" i="14" s="1"/>
  <c r="E45" i="14"/>
  <c r="E44" i="14"/>
  <c r="D43" i="14"/>
  <c r="E43" i="14" s="1"/>
  <c r="E42" i="14"/>
  <c r="D41" i="14"/>
  <c r="E41" i="14" s="1"/>
  <c r="E38" i="14"/>
  <c r="D37" i="14"/>
  <c r="E37" i="14" s="1"/>
  <c r="D36" i="14"/>
  <c r="E36" i="14" s="1"/>
  <c r="E33" i="14"/>
  <c r="D32" i="14"/>
  <c r="E32" i="14" s="1"/>
  <c r="D30" i="14"/>
  <c r="E30" i="14" s="1"/>
  <c r="E29" i="14"/>
  <c r="E27" i="14"/>
  <c r="E26" i="14"/>
  <c r="E23" i="14"/>
  <c r="E22" i="14"/>
  <c r="E21" i="14"/>
  <c r="D21" i="14"/>
  <c r="E20" i="14"/>
  <c r="E18" i="14"/>
  <c r="D17" i="14"/>
  <c r="E17" i="14" s="1"/>
  <c r="D15" i="14"/>
  <c r="E15" i="14" s="1"/>
  <c r="D14" i="14"/>
  <c r="E14" i="14" s="1"/>
  <c r="E11" i="14"/>
  <c r="E10" i="14"/>
  <c r="E8" i="14"/>
  <c r="E7" i="14"/>
  <c r="E6" i="14"/>
  <c r="E45" i="13"/>
  <c r="E44" i="13"/>
  <c r="D43" i="13"/>
  <c r="E43" i="13" s="1"/>
  <c r="E42" i="13"/>
  <c r="D41" i="13"/>
  <c r="E41" i="13" s="1"/>
  <c r="E38" i="13"/>
  <c r="D37" i="13"/>
  <c r="E37" i="13" s="1"/>
  <c r="D36" i="13"/>
  <c r="E36" i="13" s="1"/>
  <c r="E33" i="13"/>
  <c r="D32" i="13"/>
  <c r="E32" i="13" s="1"/>
  <c r="D30" i="13"/>
  <c r="E30" i="13" s="1"/>
  <c r="E29" i="13"/>
  <c r="E27" i="13"/>
  <c r="E26" i="13"/>
  <c r="E23" i="13"/>
  <c r="E22" i="13"/>
  <c r="D21" i="13"/>
  <c r="E21" i="13" s="1"/>
  <c r="E20" i="13"/>
  <c r="E18" i="13"/>
  <c r="D17" i="13"/>
  <c r="E17" i="13" s="1"/>
  <c r="D15" i="13"/>
  <c r="E15" i="13" s="1"/>
  <c r="D14" i="13"/>
  <c r="E14" i="13" s="1"/>
  <c r="E11" i="13"/>
  <c r="E10" i="13"/>
  <c r="E8" i="13"/>
  <c r="E7" i="13"/>
  <c r="E6" i="13"/>
  <c r="D21" i="12"/>
  <c r="E21" i="12" s="1"/>
  <c r="D17" i="12"/>
  <c r="E17" i="12" s="1"/>
  <c r="D14" i="12"/>
  <c r="E11" i="12"/>
  <c r="E45" i="12"/>
  <c r="E44" i="12"/>
  <c r="D43" i="12"/>
  <c r="E43" i="12" s="1"/>
  <c r="E42" i="12"/>
  <c r="D41" i="12"/>
  <c r="E41" i="12" s="1"/>
  <c r="E38" i="12"/>
  <c r="D37" i="12"/>
  <c r="E37" i="12" s="1"/>
  <c r="D36" i="12"/>
  <c r="E36" i="12" s="1"/>
  <c r="E33" i="12"/>
  <c r="D32" i="12"/>
  <c r="E32" i="12" s="1"/>
  <c r="D30" i="12"/>
  <c r="E30" i="12" s="1"/>
  <c r="E29" i="12"/>
  <c r="D28" i="12"/>
  <c r="E28" i="12" s="1"/>
  <c r="E27" i="12"/>
  <c r="E26" i="12"/>
  <c r="E23" i="12"/>
  <c r="E22" i="12"/>
  <c r="E20" i="12"/>
  <c r="E18" i="12"/>
  <c r="D15" i="12"/>
  <c r="E15" i="12" s="1"/>
  <c r="E14" i="12"/>
  <c r="E10" i="12"/>
  <c r="E8" i="12"/>
  <c r="E7" i="12"/>
  <c r="E6" i="12"/>
  <c r="D20" i="11"/>
  <c r="E20" i="11" s="1"/>
  <c r="D36" i="11"/>
  <c r="E36" i="11" s="1"/>
  <c r="D35" i="11"/>
  <c r="E35" i="11" s="1"/>
  <c r="D25" i="11"/>
  <c r="E25" i="11" s="1"/>
  <c r="E19" i="11"/>
  <c r="D16" i="11"/>
  <c r="E16" i="11" s="1"/>
  <c r="E44" i="11"/>
  <c r="E43" i="11"/>
  <c r="D42" i="11"/>
  <c r="E42" i="11" s="1"/>
  <c r="E41" i="11"/>
  <c r="D40" i="11"/>
  <c r="E40" i="11" s="1"/>
  <c r="E37" i="11"/>
  <c r="E32" i="11"/>
  <c r="D31" i="11"/>
  <c r="E31" i="11" s="1"/>
  <c r="D29" i="11"/>
  <c r="E29" i="11" s="1"/>
  <c r="E28" i="11"/>
  <c r="D27" i="11"/>
  <c r="E27" i="11" s="1"/>
  <c r="D26" i="11"/>
  <c r="E26" i="11" s="1"/>
  <c r="E22" i="11"/>
  <c r="E21" i="11"/>
  <c r="E17" i="11"/>
  <c r="D14" i="11"/>
  <c r="E14" i="11" s="1"/>
  <c r="D13" i="11"/>
  <c r="E13" i="11" s="1"/>
  <c r="D10" i="11"/>
  <c r="E10" i="11" s="1"/>
  <c r="E8" i="11"/>
  <c r="E7" i="11"/>
  <c r="D6" i="11"/>
  <c r="E6" i="11" s="1"/>
  <c r="E106" i="10"/>
  <c r="E105" i="10"/>
  <c r="E104" i="10"/>
  <c r="E103" i="10"/>
  <c r="E102" i="10"/>
  <c r="D101" i="10"/>
  <c r="E101" i="10" s="1"/>
  <c r="E100" i="10"/>
  <c r="D99" i="10"/>
  <c r="E99" i="10" s="1"/>
  <c r="E96" i="10"/>
  <c r="E95" i="10"/>
  <c r="E94" i="10"/>
  <c r="E91" i="10"/>
  <c r="E90" i="10"/>
  <c r="D89" i="10"/>
  <c r="E89" i="10" s="1"/>
  <c r="E88" i="10"/>
  <c r="E87" i="10"/>
  <c r="E86" i="10"/>
  <c r="E84" i="10"/>
  <c r="D84" i="10"/>
  <c r="E83" i="10"/>
  <c r="E82" i="10"/>
  <c r="D81" i="10"/>
  <c r="E81" i="10" s="1"/>
  <c r="D80" i="10"/>
  <c r="E80" i="10" s="1"/>
  <c r="E77" i="10"/>
  <c r="E76" i="10"/>
  <c r="E75" i="10"/>
  <c r="D74" i="10"/>
  <c r="E74" i="10" s="1"/>
  <c r="D73" i="10"/>
  <c r="E73" i="10" s="1"/>
  <c r="E72" i="10"/>
  <c r="E71" i="10"/>
  <c r="E70" i="10"/>
  <c r="E69" i="10"/>
  <c r="D68" i="10"/>
  <c r="E68" i="10" s="1"/>
  <c r="E66" i="10"/>
  <c r="E65" i="10"/>
  <c r="D63" i="10"/>
  <c r="E63" i="10" s="1"/>
  <c r="D62" i="10"/>
  <c r="E62" i="10" s="1"/>
  <c r="E60" i="10"/>
  <c r="E59" i="10"/>
  <c r="E58" i="10"/>
  <c r="D57" i="10"/>
  <c r="E57" i="10" s="1"/>
  <c r="D56" i="10"/>
  <c r="E56" i="10" s="1"/>
  <c r="E55" i="10"/>
  <c r="D54" i="10"/>
  <c r="E54" i="10" s="1"/>
  <c r="E53" i="10"/>
  <c r="D52" i="10"/>
  <c r="E52" i="10" s="1"/>
  <c r="E49" i="10"/>
  <c r="D48" i="10"/>
  <c r="E48" i="10" s="1"/>
  <c r="E46" i="10"/>
  <c r="E45" i="10"/>
  <c r="E44" i="10"/>
  <c r="E43" i="10"/>
  <c r="E42" i="10"/>
  <c r="E41" i="10"/>
  <c r="E40" i="10"/>
  <c r="E39" i="10"/>
  <c r="E38" i="10"/>
  <c r="E37" i="10"/>
  <c r="D36" i="10"/>
  <c r="E36" i="10" s="1"/>
  <c r="E34" i="10"/>
  <c r="E33" i="10"/>
  <c r="E32" i="10"/>
  <c r="E30" i="10"/>
  <c r="E29" i="10"/>
  <c r="E28" i="10"/>
  <c r="E27" i="10"/>
  <c r="E26" i="10"/>
  <c r="E25" i="10"/>
  <c r="E24" i="10"/>
  <c r="E23" i="10"/>
  <c r="E22" i="10"/>
  <c r="D21" i="10"/>
  <c r="E21" i="10" s="1"/>
  <c r="E19" i="10"/>
  <c r="E18" i="10"/>
  <c r="E17" i="10"/>
  <c r="E16" i="10"/>
  <c r="E15" i="10"/>
  <c r="E14" i="10"/>
  <c r="E13" i="10"/>
  <c r="E12" i="10"/>
  <c r="E11" i="10"/>
  <c r="E10" i="10"/>
  <c r="E9" i="10"/>
  <c r="D9" i="10"/>
  <c r="E12" i="3"/>
  <c r="E106" i="4"/>
  <c r="E105" i="4"/>
  <c r="E104" i="4"/>
  <c r="E103" i="4"/>
  <c r="E102" i="4"/>
  <c r="D101" i="4"/>
  <c r="E101" i="4" s="1"/>
  <c r="E100" i="4"/>
  <c r="D99" i="4"/>
  <c r="E99" i="4" s="1"/>
  <c r="E96" i="4"/>
  <c r="D95" i="4"/>
  <c r="E95" i="4" s="1"/>
  <c r="D94" i="4"/>
  <c r="E94" i="4" s="1"/>
  <c r="E91" i="4"/>
  <c r="E90" i="4"/>
  <c r="E89" i="4"/>
  <c r="D89" i="4"/>
  <c r="E88" i="4"/>
  <c r="E87" i="4"/>
  <c r="D86" i="4"/>
  <c r="E86" i="4" s="1"/>
  <c r="D84" i="4"/>
  <c r="E84" i="4" s="1"/>
  <c r="E83" i="4"/>
  <c r="D82" i="4"/>
  <c r="E82" i="4" s="1"/>
  <c r="D81" i="4"/>
  <c r="E81" i="4" s="1"/>
  <c r="E80" i="4"/>
  <c r="D80" i="4"/>
  <c r="E77" i="4"/>
  <c r="E76" i="4"/>
  <c r="E75" i="4"/>
  <c r="E74" i="4"/>
  <c r="D74" i="4"/>
  <c r="D73" i="4"/>
  <c r="E73" i="4" s="1"/>
  <c r="E72" i="4"/>
  <c r="E71" i="4"/>
  <c r="E70" i="4"/>
  <c r="E69" i="4"/>
  <c r="E68" i="4"/>
  <c r="D68" i="4"/>
  <c r="E66" i="4"/>
  <c r="E65" i="4"/>
  <c r="D63" i="4"/>
  <c r="E63" i="4" s="1"/>
  <c r="D62" i="4"/>
  <c r="E62" i="4" s="1"/>
  <c r="E60" i="4"/>
  <c r="E59" i="4"/>
  <c r="E58" i="4"/>
  <c r="E57" i="4"/>
  <c r="D57" i="4"/>
  <c r="D56" i="4"/>
  <c r="E56" i="4" s="1"/>
  <c r="E55" i="4"/>
  <c r="E54" i="4"/>
  <c r="D54" i="4"/>
  <c r="E53" i="4"/>
  <c r="E52" i="4"/>
  <c r="D52" i="4"/>
  <c r="E49" i="4"/>
  <c r="D48" i="4"/>
  <c r="E48" i="4" s="1"/>
  <c r="E46" i="4"/>
  <c r="E45" i="4"/>
  <c r="E44" i="4"/>
  <c r="E43" i="4"/>
  <c r="E42" i="4"/>
  <c r="E41" i="4"/>
  <c r="E40" i="4"/>
  <c r="E39" i="4"/>
  <c r="E38" i="4"/>
  <c r="E37" i="4"/>
  <c r="D36" i="4"/>
  <c r="E36" i="4" s="1"/>
  <c r="E34" i="4"/>
  <c r="E33" i="4"/>
  <c r="E32" i="4"/>
  <c r="E30" i="4"/>
  <c r="E29" i="4"/>
  <c r="E28" i="4"/>
  <c r="E27" i="4"/>
  <c r="E26" i="4"/>
  <c r="E25" i="4"/>
  <c r="E24" i="4"/>
  <c r="E23" i="4"/>
  <c r="E22" i="4"/>
  <c r="E21" i="4"/>
  <c r="D21" i="4"/>
  <c r="E19" i="4"/>
  <c r="E18" i="4"/>
  <c r="E17" i="4"/>
  <c r="E16" i="4"/>
  <c r="E15" i="4"/>
  <c r="E14" i="4"/>
  <c r="E13" i="4"/>
  <c r="E12" i="4"/>
  <c r="E11" i="4"/>
  <c r="E10" i="4"/>
  <c r="D9" i="4"/>
  <c r="E9" i="4" s="1"/>
  <c r="D9" i="2"/>
  <c r="E9" i="2" s="1"/>
  <c r="D89" i="2"/>
  <c r="E89" i="2" s="1"/>
  <c r="D48" i="2"/>
  <c r="E48" i="2" s="1"/>
  <c r="D99" i="2"/>
  <c r="E99" i="2" s="1"/>
  <c r="D74" i="2"/>
  <c r="E74" i="2" s="1"/>
  <c r="D73" i="2"/>
  <c r="E73" i="2" s="1"/>
  <c r="D68" i="2"/>
  <c r="E68" i="2" s="1"/>
  <c r="D21" i="2"/>
  <c r="E21" i="2" s="1"/>
  <c r="D36" i="2"/>
  <c r="E36" i="2" s="1"/>
  <c r="D82" i="2"/>
  <c r="E82" i="2" s="1"/>
  <c r="D81" i="2"/>
  <c r="E81" i="2" s="1"/>
  <c r="D80" i="2"/>
  <c r="E80" i="2" s="1"/>
  <c r="D95" i="2"/>
  <c r="E95" i="2" s="1"/>
  <c r="D94" i="2"/>
  <c r="E94" i="2" s="1"/>
  <c r="D86" i="2"/>
  <c r="E86" i="2" s="1"/>
  <c r="D84" i="2"/>
  <c r="E84" i="2" s="1"/>
  <c r="E2" i="3"/>
  <c r="E3" i="3"/>
  <c r="E4" i="3"/>
  <c r="E5" i="3"/>
  <c r="E6" i="3"/>
  <c r="E7" i="3"/>
  <c r="E9" i="3"/>
  <c r="E10" i="3"/>
  <c r="E11" i="3"/>
  <c r="D101" i="2"/>
  <c r="E101" i="2" s="1"/>
  <c r="E106" i="2"/>
  <c r="E10" i="2"/>
  <c r="E11" i="2"/>
  <c r="E12" i="2"/>
  <c r="E13" i="2"/>
  <c r="E14" i="2"/>
  <c r="E15" i="2"/>
  <c r="E16" i="2"/>
  <c r="E17" i="2"/>
  <c r="E18" i="2"/>
  <c r="E19" i="2"/>
  <c r="E22" i="2"/>
  <c r="E23" i="2"/>
  <c r="E24" i="2"/>
  <c r="E25" i="2"/>
  <c r="E26" i="2"/>
  <c r="E27" i="2"/>
  <c r="E28" i="2"/>
  <c r="E29" i="2"/>
  <c r="E30" i="2"/>
  <c r="E32" i="2"/>
  <c r="E33" i="2"/>
  <c r="E34" i="2"/>
  <c r="E37" i="2"/>
  <c r="E38" i="2"/>
  <c r="E39" i="2"/>
  <c r="E40" i="2"/>
  <c r="E41" i="2"/>
  <c r="E42" i="2"/>
  <c r="E43" i="2"/>
  <c r="E44" i="2"/>
  <c r="E45" i="2"/>
  <c r="E46" i="2"/>
  <c r="E49" i="2"/>
  <c r="E53" i="2"/>
  <c r="E55" i="2"/>
  <c r="E58" i="2"/>
  <c r="E59" i="2"/>
  <c r="E60" i="2"/>
  <c r="E66" i="2"/>
  <c r="E69" i="2"/>
  <c r="E70" i="2"/>
  <c r="E71" i="2"/>
  <c r="E72" i="2"/>
  <c r="E75" i="2"/>
  <c r="E76" i="2"/>
  <c r="E77" i="2"/>
  <c r="E83" i="2"/>
  <c r="E87" i="2"/>
  <c r="E88" i="2"/>
  <c r="E90" i="2"/>
  <c r="E91" i="2"/>
  <c r="E96" i="2"/>
  <c r="E100" i="2"/>
  <c r="E102" i="2"/>
  <c r="E103" i="2"/>
  <c r="E104" i="2"/>
  <c r="E105" i="2"/>
  <c r="E65" i="2"/>
  <c r="D63" i="2"/>
  <c r="E63" i="2" s="1"/>
  <c r="D62" i="2"/>
  <c r="E62" i="2" s="1"/>
  <c r="D57" i="2"/>
  <c r="E57" i="2" s="1"/>
  <c r="D56" i="2"/>
  <c r="E56" i="2" s="1"/>
  <c r="D54" i="2"/>
  <c r="E54" i="2" s="1"/>
  <c r="D52" i="2"/>
  <c r="E52" i="2" s="1"/>
  <c r="E46" i="21" l="1"/>
  <c r="E47" i="21" s="1"/>
  <c r="B12" i="3" s="1"/>
  <c r="C12" i="3" s="1"/>
  <c r="F12" i="3" s="1"/>
  <c r="E46" i="20"/>
  <c r="E47" i="20" s="1"/>
  <c r="B11" i="3" s="1"/>
  <c r="C11" i="3" s="1"/>
  <c r="F11" i="3" s="1"/>
  <c r="G11" i="3" s="1"/>
  <c r="E46" i="19"/>
  <c r="E47" i="19" s="1"/>
  <c r="B10" i="3" s="1"/>
  <c r="C10" i="3" s="1"/>
  <c r="F10" i="3" s="1"/>
  <c r="G10" i="3" s="1"/>
  <c r="E46" i="18"/>
  <c r="E47" i="18" s="1"/>
  <c r="B9" i="3" s="1"/>
  <c r="C9" i="3" s="1"/>
  <c r="F9" i="3" s="1"/>
  <c r="G9" i="3" s="1"/>
  <c r="E46" i="17"/>
  <c r="E47" i="17" s="1"/>
  <c r="C8" i="3" s="1"/>
  <c r="E46" i="16"/>
  <c r="E47" i="16" s="1"/>
  <c r="C7" i="3" s="1"/>
  <c r="F7" i="3" s="1"/>
  <c r="G7" i="3" s="1"/>
  <c r="E46" i="15"/>
  <c r="E47" i="15" s="1"/>
  <c r="C6" i="3" s="1"/>
  <c r="F6" i="3" s="1"/>
  <c r="G6" i="3" s="1"/>
  <c r="E46" i="14"/>
  <c r="E47" i="14" s="1"/>
  <c r="C5" i="3" s="1"/>
  <c r="F5" i="3" s="1"/>
  <c r="G5" i="3" s="1"/>
  <c r="E46" i="13"/>
  <c r="E47" i="13" s="1"/>
  <c r="C4" i="3" s="1"/>
  <c r="F4" i="3" s="1"/>
  <c r="G4" i="3" s="1"/>
  <c r="E46" i="12"/>
  <c r="E47" i="12" s="1"/>
  <c r="C3" i="3" s="1"/>
  <c r="F3" i="3" s="1"/>
  <c r="G3" i="3" s="1"/>
  <c r="E45" i="11"/>
  <c r="E46" i="11" s="1"/>
  <c r="C2" i="3" s="1"/>
  <c r="F2" i="3" s="1"/>
  <c r="G2" i="3" s="1"/>
  <c r="E107" i="10"/>
  <c r="E108" i="10" s="1"/>
  <c r="E107" i="4"/>
  <c r="E108" i="4" s="1"/>
  <c r="E107" i="2"/>
  <c r="E108" i="2" s="1"/>
  <c r="G12" i="3" l="1"/>
  <c r="E8" i="3"/>
  <c r="F8" i="3" s="1"/>
  <c r="G8" i="3" l="1"/>
</calcChain>
</file>

<file path=xl/sharedStrings.xml><?xml version="1.0" encoding="utf-8"?>
<sst xmlns="http://schemas.openxmlformats.org/spreadsheetml/2006/main" count="1457" uniqueCount="136">
  <si>
    <r>
      <rPr>
        <b/>
        <sz val="16"/>
        <rFont val="Calibri"/>
        <family val="1"/>
      </rPr>
      <t>Description</t>
    </r>
  </si>
  <si>
    <r>
      <rPr>
        <b/>
        <sz val="16"/>
        <rFont val="Calibri"/>
        <family val="1"/>
      </rPr>
      <t>Unit</t>
    </r>
  </si>
  <si>
    <r>
      <rPr>
        <b/>
        <sz val="16"/>
        <rFont val="Calibri"/>
        <family val="1"/>
      </rPr>
      <t>Rate</t>
    </r>
  </si>
  <si>
    <r>
      <rPr>
        <b/>
        <sz val="16"/>
        <rFont val="Calibri"/>
        <family val="1"/>
      </rPr>
      <t>A. Accommodation</t>
    </r>
  </si>
  <si>
    <r>
      <rPr>
        <b/>
        <u/>
        <sz val="16"/>
        <rFont val="Calibri"/>
        <family val="1"/>
      </rPr>
      <t>A1. Ijen</t>
    </r>
  </si>
  <si>
    <r>
      <rPr>
        <sz val="16"/>
        <rFont val="Calibri"/>
        <family val="1"/>
      </rPr>
      <t>No</t>
    </r>
  </si>
  <si>
    <r>
      <rPr>
        <sz val="16"/>
        <rFont val="Calibri"/>
        <family val="1"/>
      </rPr>
      <t>Grand Padis - Double/Twin</t>
    </r>
  </si>
  <si>
    <r>
      <rPr>
        <sz val="16"/>
        <rFont val="Calibri"/>
        <family val="1"/>
      </rPr>
      <t>Grand Padis - Extra Bed</t>
    </r>
  </si>
  <si>
    <r>
      <rPr>
        <b/>
        <u/>
        <sz val="16"/>
        <rFont val="Calibri"/>
        <family val="1"/>
      </rPr>
      <t>A2. Bromo </t>
    </r>
  </si>
  <si>
    <r>
      <rPr>
        <sz val="16"/>
        <rFont val="Calibri"/>
        <family val="1"/>
      </rPr>
      <t>Bromo Terrace - Deluxe Twin</t>
    </r>
  </si>
  <si>
    <r>
      <rPr>
        <sz val="16"/>
        <rFont val="Calibri"/>
        <family val="1"/>
      </rPr>
      <t>Bromo Terrace - Deluxe Double</t>
    </r>
  </si>
  <si>
    <r>
      <rPr>
        <sz val="16"/>
        <rFont val="Calibri"/>
        <family val="1"/>
      </rPr>
      <t>Bromo Terrace - Deluxe Double Hillview</t>
    </r>
  </si>
  <si>
    <r>
      <rPr>
        <sz val="16"/>
        <rFont val="Calibri"/>
        <family val="1"/>
      </rPr>
      <t>Bromo Terrace - Extra bed</t>
    </r>
  </si>
  <si>
    <r>
      <rPr>
        <b/>
        <u/>
        <sz val="16"/>
        <rFont val="Calibri"/>
        <family val="1"/>
      </rPr>
      <t>A3. Lumajang / Malang / Jember</t>
    </r>
  </si>
  <si>
    <r>
      <rPr>
        <sz val="16"/>
        <rFont val="Calibri"/>
        <family val="1"/>
      </rPr>
      <t>Atria Malang - Deluxe</t>
    </r>
  </si>
  <si>
    <r>
      <rPr>
        <sz val="16"/>
        <rFont val="Calibri"/>
        <family val="1"/>
      </rPr>
      <t>Atria Malang - Extra bed</t>
    </r>
  </si>
  <si>
    <t>Doho Homestay - Deluxe</t>
  </si>
  <si>
    <t>Doho Homestay - Executive</t>
  </si>
  <si>
    <r>
      <rPr>
        <sz val="16"/>
        <rFont val="Calibri"/>
        <family val="1"/>
      </rPr>
      <t>Doho Homestay - Emerald</t>
    </r>
  </si>
  <si>
    <r>
      <rPr>
        <sz val="16"/>
        <rFont val="Calibri"/>
        <family val="1"/>
      </rPr>
      <t>Doho Homestay - Platinum</t>
    </r>
  </si>
  <si>
    <r>
      <rPr>
        <sz val="16"/>
        <rFont val="Calibri"/>
        <family val="1"/>
      </rPr>
      <t>Doho Homestay - Family</t>
    </r>
  </si>
  <si>
    <r>
      <rPr>
        <sz val="16"/>
        <rFont val="Calibri"/>
        <family val="1"/>
      </rPr>
      <t>Yanto - Cottage incl. dinner</t>
    </r>
  </si>
  <si>
    <r>
      <rPr>
        <sz val="16"/>
        <rFont val="Calibri"/>
        <family val="1"/>
      </rPr>
      <t>Yanto - Deluxe Twin/Double incl. dinner</t>
    </r>
  </si>
  <si>
    <r>
      <rPr>
        <sz val="16"/>
        <rFont val="Calibri"/>
        <family val="1"/>
      </rPr>
      <t>Whiz Prime Malang - Deluxe (with breakfast)</t>
    </r>
  </si>
  <si>
    <r>
      <rPr>
        <sz val="16"/>
        <rFont val="Calibri"/>
        <family val="1"/>
      </rPr>
      <t>Whiz Prime Malang - Deluxe (without breakfast)</t>
    </r>
  </si>
  <si>
    <r>
      <rPr>
        <b/>
        <u/>
        <sz val="16"/>
        <rFont val="Calibri"/>
        <family val="1"/>
      </rPr>
      <t>A4. Surabaya</t>
    </r>
  </si>
  <si>
    <r>
      <rPr>
        <sz val="16"/>
        <rFont val="Calibri"/>
        <family val="1"/>
      </rPr>
      <t>Holiday inn - Double/Twin</t>
    </r>
  </si>
  <si>
    <r>
      <rPr>
        <b/>
        <sz val="16"/>
        <rFont val="Calibri"/>
        <family val="1"/>
      </rPr>
      <t>B. Activities</t>
    </r>
  </si>
  <si>
    <r>
      <rPr>
        <b/>
        <u/>
        <sz val="16"/>
        <rFont val="Calibri"/>
        <family val="1"/>
      </rPr>
      <t>B1. Ijen</t>
    </r>
  </si>
  <si>
    <r>
      <rPr>
        <sz val="16"/>
        <rFont val="Calibri"/>
        <family val="1"/>
      </rPr>
      <t>Pax</t>
    </r>
  </si>
  <si>
    <r>
      <rPr>
        <sz val="16"/>
        <rFont val="Calibri"/>
        <family val="1"/>
      </rPr>
      <t>Gas Mask</t>
    </r>
  </si>
  <si>
    <t>Coffee + Indo Mee</t>
  </si>
  <si>
    <r>
      <rPr>
        <sz val="16"/>
        <rFont val="Calibri"/>
        <family val="1"/>
      </rPr>
      <t>Grand Padis - Lunch</t>
    </r>
  </si>
  <si>
    <r>
      <rPr>
        <sz val="16"/>
        <rFont val="Calibri"/>
        <family val="1"/>
      </rPr>
      <t>Grand Padis - Dinner</t>
    </r>
  </si>
  <si>
    <r>
      <rPr>
        <sz val="16"/>
        <rFont val="Calibri"/>
        <family val="1"/>
      </rPr>
      <t>Ijen Certificate</t>
    </r>
  </si>
  <si>
    <r>
      <rPr>
        <b/>
        <u/>
        <sz val="16"/>
        <rFont val="Calibri"/>
        <family val="1"/>
      </rPr>
      <t>B2. Bromo </t>
    </r>
  </si>
  <si>
    <r>
      <rPr>
        <sz val="16"/>
        <rFont val="Calibri"/>
        <family val="1"/>
      </rPr>
      <t>Bromo - Jeep</t>
    </r>
  </si>
  <si>
    <t>B3. Madakaripura</t>
  </si>
  <si>
    <r>
      <rPr>
        <sz val="16"/>
        <rFont val="Calibri"/>
        <family val="1"/>
      </rPr>
      <t>Motor + Ticket</t>
    </r>
  </si>
  <si>
    <r>
      <rPr>
        <b/>
        <u/>
        <sz val="16"/>
        <rFont val="Calibri"/>
        <family val="1"/>
      </rPr>
      <t>B4. Tumpak Sewu/ Kapas Biru/ Panorama/ Coban Sriti</t>
    </r>
  </si>
  <si>
    <r>
      <rPr>
        <sz val="16"/>
        <rFont val="Calibri"/>
        <family val="1"/>
      </rPr>
      <t>Tumpak Sewu - Ticket</t>
    </r>
  </si>
  <si>
    <t>No</t>
  </si>
  <si>
    <r>
      <rPr>
        <sz val="16"/>
        <rFont val="Calibri"/>
        <family val="1"/>
      </rPr>
      <t>Yanto's breakfast incl drinks</t>
    </r>
  </si>
  <si>
    <r>
      <rPr>
        <sz val="16"/>
        <rFont val="Calibri"/>
        <family val="1"/>
      </rPr>
      <t>Yanto's lunch incl drinks</t>
    </r>
  </si>
  <si>
    <r>
      <rPr>
        <sz val="16"/>
        <rFont val="Calibri"/>
        <family val="1"/>
      </rPr>
      <t>Papuma Beach</t>
    </r>
  </si>
  <si>
    <r>
      <rPr>
        <b/>
        <u/>
        <sz val="16"/>
        <rFont val="Calibri"/>
        <family val="1"/>
      </rPr>
      <t>B5. Malang</t>
    </r>
  </si>
  <si>
    <r>
      <rPr>
        <sz val="16"/>
        <rFont val="Calibri"/>
        <family val="1"/>
      </rPr>
      <t>Santerra, Goa Pinus, Taman Langit, Apple Garden</t>
    </r>
  </si>
  <si>
    <t>C. Transportation</t>
  </si>
  <si>
    <r>
      <rPr>
        <b/>
        <u/>
        <sz val="16"/>
        <rFont val="Calibri"/>
        <family val="1"/>
      </rPr>
      <t>C1. Vehicle</t>
    </r>
  </si>
  <si>
    <r>
      <rPr>
        <sz val="16"/>
        <rFont val="Calibri"/>
        <family val="1"/>
      </rPr>
      <t>Avanza</t>
    </r>
  </si>
  <si>
    <r>
      <rPr>
        <sz val="16"/>
        <rFont val="Calibri"/>
        <family val="1"/>
      </rPr>
      <t>Day x Qty</t>
    </r>
  </si>
  <si>
    <r>
      <rPr>
        <sz val="16"/>
        <rFont val="Calibri"/>
        <family val="1"/>
      </rPr>
      <t>Innova</t>
    </r>
  </si>
  <si>
    <t>Toyota Hiace</t>
  </si>
  <si>
    <r>
      <rPr>
        <sz val="16"/>
        <rFont val="Calibri"/>
        <family val="1"/>
      </rPr>
      <t>Toyota Hiace Premio (4-6pax)</t>
    </r>
  </si>
  <si>
    <r>
      <rPr>
        <b/>
        <u/>
        <sz val="16"/>
        <rFont val="Calibri"/>
        <family val="1"/>
      </rPr>
      <t>C2. Parking and toll</t>
    </r>
  </si>
  <si>
    <r>
      <rPr>
        <sz val="16"/>
        <rFont val="Calibri"/>
        <family val="1"/>
      </rPr>
      <t>Probolingo</t>
    </r>
  </si>
  <si>
    <r>
      <rPr>
        <b/>
        <u/>
        <sz val="16"/>
        <rFont val="Calibri"/>
        <family val="1"/>
      </rPr>
      <t>C3. Shuttle service</t>
    </r>
  </si>
  <si>
    <r>
      <rPr>
        <sz val="16"/>
        <rFont val="Calibri"/>
        <family val="1"/>
      </rPr>
      <t>Every 3 pax</t>
    </r>
  </si>
  <si>
    <r>
      <rPr>
        <sz val="16"/>
        <rFont val="Calibri"/>
        <family val="1"/>
      </rPr>
      <t>Trip</t>
    </r>
  </si>
  <si>
    <t>D. Crews</t>
  </si>
  <si>
    <r>
      <rPr>
        <b/>
        <u/>
        <sz val="16"/>
        <rFont val="Calibri"/>
        <family val="1"/>
      </rPr>
      <t>D1. In house</t>
    </r>
  </si>
  <si>
    <r>
      <rPr>
        <sz val="16"/>
        <rFont val="Calibri"/>
        <family val="1"/>
      </rPr>
      <t>Driver cum guide</t>
    </r>
  </si>
  <si>
    <t>E. Others</t>
  </si>
  <si>
    <r>
      <rPr>
        <b/>
        <u/>
        <sz val="16"/>
        <rFont val="Calibri"/>
        <family val="1"/>
      </rPr>
      <t>E1. Miscelleneous</t>
    </r>
  </si>
  <si>
    <r>
      <rPr>
        <sz val="16"/>
        <rFont val="Calibri"/>
        <family val="1"/>
      </rPr>
      <t>Mineral Water</t>
    </r>
  </si>
  <si>
    <t>Day x Qty</t>
  </si>
  <si>
    <t>Transport allowance</t>
  </si>
  <si>
    <r>
      <rPr>
        <sz val="16"/>
        <rFont val="Calibri"/>
        <family val="1"/>
      </rPr>
      <t>T Shirt</t>
    </r>
  </si>
  <si>
    <r>
      <rPr>
        <b/>
        <u/>
        <sz val="16"/>
        <rFont val="Calibri"/>
        <family val="1"/>
      </rPr>
      <t>E2. Police Escort</t>
    </r>
  </si>
  <si>
    <r>
      <rPr>
        <sz val="16"/>
        <rFont val="Calibri"/>
        <family val="1"/>
      </rPr>
      <t>Probolingo &lt;-&gt; Bondowoso / Pasir Putih</t>
    </r>
  </si>
  <si>
    <r>
      <rPr>
        <b/>
        <u/>
        <sz val="16"/>
        <rFont val="Calibri"/>
        <family val="1"/>
      </rPr>
      <t>E3. Bali Transfer</t>
    </r>
  </si>
  <si>
    <r>
      <rPr>
        <sz val="16"/>
        <rFont val="Calibri"/>
        <family val="1"/>
      </rPr>
      <t>Ferry tickets (1-way)</t>
    </r>
  </si>
  <si>
    <t>Kapas Biru - Parking</t>
  </si>
  <si>
    <t>Kapas Biru - Tickets</t>
  </si>
  <si>
    <t>Manis Ae Bromo - Single Cabin</t>
  </si>
  <si>
    <t>Manis Ae Bromo - Family Cabin</t>
  </si>
  <si>
    <t>Whiz Prime Malang - Superior (with breakfast)</t>
  </si>
  <si>
    <t>Whiz Prime Malang - Superior (without breakfast)</t>
  </si>
  <si>
    <t>Baratha - Superior</t>
  </si>
  <si>
    <t>Baratha - Deluxe</t>
  </si>
  <si>
    <t>Baratha - Family</t>
  </si>
  <si>
    <t>Baratha - Apartement</t>
  </si>
  <si>
    <t>Whiz Bromo - Superior</t>
  </si>
  <si>
    <t>Artha Cottage - Deluxe</t>
  </si>
  <si>
    <t>Baratha - Lunch</t>
  </si>
  <si>
    <t>Baratha - Dinner</t>
  </si>
  <si>
    <t>Bromo - Ticket</t>
  </si>
  <si>
    <t>Ijen - Ticket</t>
  </si>
  <si>
    <t>Ferry - Guide</t>
  </si>
  <si>
    <t>Joglo Kecombrang - Deluxe</t>
  </si>
  <si>
    <t>Joglo Kecombrang - Family</t>
  </si>
  <si>
    <t>Joglo Kecombrang - Extra Bed</t>
  </si>
  <si>
    <t>101 Malang (Without Breakfast)</t>
  </si>
  <si>
    <t>Riverside Homestay - Deluxe</t>
  </si>
  <si>
    <t>Riverside Homestay - Emerald</t>
  </si>
  <si>
    <t>Riverside Homestay - Executive</t>
  </si>
  <si>
    <t>Riverside Homestay - Platinum</t>
  </si>
  <si>
    <t>Riverside Homestay - Family</t>
  </si>
  <si>
    <t>Harris Bundaran Satelit Surabaya</t>
  </si>
  <si>
    <t>Taman Langit</t>
  </si>
  <si>
    <t>Probolinggo + Malang</t>
  </si>
  <si>
    <t>Escort Guide</t>
  </si>
  <si>
    <t>Driver Only</t>
  </si>
  <si>
    <t>Luminor Banyuwangi</t>
  </si>
  <si>
    <t>Santika Banyuwangi</t>
  </si>
  <si>
    <t>C4. Transport Bali</t>
  </si>
  <si>
    <t>Transport Bali</t>
  </si>
  <si>
    <t>Madakaripura Local Guide</t>
  </si>
  <si>
    <t>Tumpak Sewu Local Guide</t>
  </si>
  <si>
    <t>Ijen Local Guide</t>
  </si>
  <si>
    <t>Package Name</t>
  </si>
  <si>
    <t>ID</t>
  </si>
  <si>
    <t>Duration (Days)</t>
  </si>
  <si>
    <t>No of Pax</t>
  </si>
  <si>
    <t>Qty</t>
  </si>
  <si>
    <t>Total</t>
  </si>
  <si>
    <t>Karton</t>
  </si>
  <si>
    <t>Total Expense</t>
  </si>
  <si>
    <t>Pax</t>
  </si>
  <si>
    <t>Margin</t>
  </si>
  <si>
    <t>Presentase Margin</t>
  </si>
  <si>
    <t>Expense / Pax</t>
  </si>
  <si>
    <t>Harga / Pax</t>
  </si>
  <si>
    <t>Total Harga</t>
  </si>
  <si>
    <t>Extra Luggage</t>
  </si>
  <si>
    <t>Ultimate East Java Experience: 5D4N Ijen Crater, Tumpak Sewu &amp; Bromo</t>
  </si>
  <si>
    <t>A3. Taman Safari Prigen</t>
  </si>
  <si>
    <t>Baobab Safari Resort - Deluxe Safari View (Weekend)</t>
  </si>
  <si>
    <t>B4. Taman Safari</t>
  </si>
  <si>
    <t>Surcharge Taman Safari Ticket</t>
  </si>
  <si>
    <t>Ticket Driver &amp; Guide</t>
  </si>
  <si>
    <t>Parking</t>
  </si>
  <si>
    <t>Baobab Safari Resort - Extra Bed</t>
  </si>
  <si>
    <t>Breakfast With Giraffe (Max 4 pax / sesi) - Add on</t>
  </si>
  <si>
    <t>3D 2N Safari Park - Bromo - Surabaya</t>
  </si>
  <si>
    <t>Naikkan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</si>
</sst>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20" x14ac:knownFonts="1">
    <font>
      <sz val="10"/>
      <color rgb="FF000000"/>
      <name val="Times New Roman"/>
      <charset val="204"/>
    </font>
    <font>
      <b/>
      <sz val="16"/>
      <name val="Calibri"/>
      <family val="2"/>
    </font>
    <font>
      <b/>
      <sz val="16"/>
      <name val="Calibri"/>
      <family val="1"/>
    </font>
    <font>
      <sz val="16"/>
      <color rgb="FF000000"/>
      <name val="Times New Roman"/>
      <family val="1"/>
    </font>
    <font>
      <b/>
      <u/>
      <sz val="16"/>
      <name val="Calibri"/>
      <family val="1"/>
    </font>
    <font>
      <sz val="16"/>
      <name val="Calibri"/>
      <family val="2"/>
    </font>
    <font>
      <sz val="16"/>
      <name val="Calibri"/>
      <family val="1"/>
    </font>
    <font>
      <sz val="16"/>
      <color rgb="FF000000"/>
      <name val="Calibri"/>
      <family val="2"/>
    </font>
    <font>
      <b/>
      <sz val="16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  <family val="2"/>
    </font>
    <font>
      <sz val="14"/>
      <color rgb="FF000000"/>
      <name val="Aptos"/>
      <family val="2"/>
    </font>
    <font>
      <b/>
      <sz val="16"/>
      <color rgb="FF000000"/>
      <name val="Calibri"/>
      <family val="2"/>
    </font>
    <font>
      <b/>
      <sz val="16"/>
      <color rgb="FF0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6"/>
      <color rgb="FF000000"/>
      <name val="Aptos"/>
      <family val="2"/>
    </font>
    <font>
      <sz val="12"/>
      <color rgb="FF9C0006"/>
      <name val="Calibri"/>
      <family val="2"/>
      <scheme val="minor"/>
    </font>
    <font>
      <sz val="16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8" fillId="8" borderId="0" applyNumberFormat="0" applyBorder="0" applyAlignment="0" applyProtection="0"/>
  </cellStyleXfs>
  <cellXfs count="51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left" vertical="top"/>
    </xf>
    <xf numFmtId="0" fontId="13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5"/>
    </xf>
    <xf numFmtId="0" fontId="5" fillId="0" borderId="2" xfId="0" applyFont="1" applyBorder="1" applyAlignment="1">
      <alignment horizontal="center" vertical="top" wrapText="1"/>
    </xf>
    <xf numFmtId="3" fontId="7" fillId="0" borderId="2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 indent="5"/>
    </xf>
    <xf numFmtId="3" fontId="3" fillId="0" borderId="2" xfId="0" applyNumberFormat="1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 indent="3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164" fontId="16" fillId="3" borderId="2" xfId="1" applyNumberFormat="1" applyFont="1" applyFill="1" applyBorder="1" applyAlignment="1">
      <alignment horizontal="center"/>
    </xf>
    <xf numFmtId="164" fontId="16" fillId="3" borderId="2" xfId="1" applyNumberFormat="1" applyFont="1" applyFill="1" applyBorder="1"/>
    <xf numFmtId="0" fontId="16" fillId="4" borderId="2" xfId="0" applyFont="1" applyFill="1" applyBorder="1" applyAlignment="1">
      <alignment horizontal="center"/>
    </xf>
    <xf numFmtId="164" fontId="16" fillId="4" borderId="2" xfId="1" applyNumberFormat="1" applyFont="1" applyFill="1" applyBorder="1"/>
    <xf numFmtId="164" fontId="16" fillId="4" borderId="2" xfId="1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/>
    </xf>
    <xf numFmtId="164" fontId="10" fillId="6" borderId="2" xfId="1" applyNumberFormat="1" applyFont="1" applyFill="1" applyBorder="1"/>
    <xf numFmtId="164" fontId="10" fillId="6" borderId="2" xfId="1" applyNumberFormat="1" applyFont="1" applyFill="1" applyBorder="1" applyAlignment="1">
      <alignment horizontal="center"/>
    </xf>
    <xf numFmtId="0" fontId="16" fillId="7" borderId="2" xfId="0" applyFont="1" applyFill="1" applyBorder="1" applyAlignment="1">
      <alignment horizontal="center"/>
    </xf>
    <xf numFmtId="164" fontId="16" fillId="7" borderId="2" xfId="1" applyNumberFormat="1" applyFont="1" applyFill="1" applyBorder="1"/>
    <xf numFmtId="164" fontId="16" fillId="7" borderId="2" xfId="1" applyNumberFormat="1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164" fontId="10" fillId="5" borderId="2" xfId="0" applyNumberFormat="1" applyFont="1" applyFill="1" applyBorder="1"/>
    <xf numFmtId="164" fontId="10" fillId="5" borderId="2" xfId="1" applyNumberFormat="1" applyFont="1" applyFill="1" applyBorder="1"/>
    <xf numFmtId="164" fontId="10" fillId="5" borderId="2" xfId="1" applyNumberFormat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1" applyNumberFormat="1" applyFont="1" applyFill="1" applyBorder="1"/>
    <xf numFmtId="164" fontId="10" fillId="0" borderId="0" xfId="1" applyNumberFormat="1" applyFont="1" applyFill="1" applyBorder="1" applyAlignment="1">
      <alignment horizontal="center"/>
    </xf>
    <xf numFmtId="165" fontId="7" fillId="0" borderId="2" xfId="1" applyNumberFormat="1" applyFont="1" applyBorder="1" applyAlignment="1">
      <alignment horizontal="center" vertical="top" shrinkToFit="1"/>
    </xf>
    <xf numFmtId="165" fontId="3" fillId="0" borderId="2" xfId="1" applyNumberFormat="1" applyFont="1" applyBorder="1" applyAlignment="1">
      <alignment horizontal="left" wrapText="1"/>
    </xf>
    <xf numFmtId="165" fontId="3" fillId="0" borderId="2" xfId="1" applyNumberFormat="1" applyFont="1" applyBorder="1" applyAlignment="1">
      <alignment horizontal="center" wrapText="1"/>
    </xf>
    <xf numFmtId="165" fontId="14" fillId="0" borderId="2" xfId="1" applyNumberFormat="1" applyFont="1" applyBorder="1" applyAlignment="1">
      <alignment horizontal="center" vertical="top" shrinkToFit="1"/>
    </xf>
    <xf numFmtId="0" fontId="13" fillId="3" borderId="1" xfId="0" applyFont="1" applyFill="1" applyBorder="1" applyAlignment="1">
      <alignment vertical="center"/>
    </xf>
    <xf numFmtId="0" fontId="17" fillId="0" borderId="0" xfId="0" applyFont="1" applyAlignment="1">
      <alignment horizontal="left" vertical="top"/>
    </xf>
    <xf numFmtId="0" fontId="19" fillId="8" borderId="2" xfId="2" applyFont="1" applyBorder="1" applyAlignment="1">
      <alignment horizontal="left" vertical="top" wrapText="1" indent="5"/>
    </xf>
    <xf numFmtId="0" fontId="19" fillId="8" borderId="2" xfId="2" applyFont="1" applyBorder="1" applyAlignment="1">
      <alignment horizontal="center" vertical="top" wrapText="1"/>
    </xf>
    <xf numFmtId="165" fontId="19" fillId="8" borderId="2" xfId="2" applyNumberFormat="1" applyFont="1" applyBorder="1" applyAlignment="1">
      <alignment horizontal="center" vertical="top" shrinkToFit="1"/>
    </xf>
    <xf numFmtId="3" fontId="19" fillId="8" borderId="2" xfId="2" applyNumberFormat="1" applyFont="1" applyBorder="1" applyAlignment="1">
      <alignment horizontal="center" vertical="top" shrinkToFit="1"/>
    </xf>
    <xf numFmtId="43" fontId="0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</cellXfs>
  <cellStyles count="3">
    <cellStyle name="Bad" xfId="2" builtinId="27"/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90CF1-8A91-4E63-9BBC-994A19DA5E24}">
  <sheetPr codeName="Sheet1">
    <pageSetUpPr fitToPage="1"/>
  </sheetPr>
  <dimension ref="A1:N108"/>
  <sheetViews>
    <sheetView zoomScale="70" zoomScaleNormal="70" workbookViewId="0">
      <selection activeCell="D3" sqref="D3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2">
      <c r="A2" s="3" t="s">
        <v>125</v>
      </c>
      <c r="B2" s="3">
        <v>56</v>
      </c>
      <c r="C2" s="3">
        <v>5</v>
      </c>
      <c r="D2" s="43">
        <v>8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hidden="1" customHeight="1" x14ac:dyDescent="0.2">
      <c r="A7" s="10" t="s">
        <v>103</v>
      </c>
      <c r="B7" s="11" t="s">
        <v>5</v>
      </c>
      <c r="C7" s="39">
        <v>500000</v>
      </c>
      <c r="D7" s="12"/>
      <c r="E7" s="12"/>
    </row>
    <row r="8" spans="1:14" ht="22.5" hidden="1" customHeight="1" x14ac:dyDescent="0.2">
      <c r="A8" s="10" t="s">
        <v>104</v>
      </c>
      <c r="B8" s="11" t="s">
        <v>5</v>
      </c>
      <c r="C8" s="39">
        <v>560000</v>
      </c>
      <c r="D8" s="12"/>
      <c r="E8" s="12"/>
    </row>
    <row r="9" spans="1:14" ht="22.5" customHeight="1" x14ac:dyDescent="0.2">
      <c r="A9" s="13" t="s">
        <v>6</v>
      </c>
      <c r="B9" s="11" t="s">
        <v>5</v>
      </c>
      <c r="C9" s="39">
        <v>435000</v>
      </c>
      <c r="D9" s="12">
        <f>ROUNDUP($D$2/2,0)</f>
        <v>4</v>
      </c>
      <c r="E9" s="39">
        <f>C9*D9</f>
        <v>1740000</v>
      </c>
    </row>
    <row r="10" spans="1:14" ht="22.5" hidden="1" customHeight="1" x14ac:dyDescent="0.2">
      <c r="A10" s="13" t="s">
        <v>7</v>
      </c>
      <c r="B10" s="11" t="s">
        <v>5</v>
      </c>
      <c r="C10" s="39">
        <v>300000</v>
      </c>
      <c r="D10" s="12"/>
      <c r="E10" s="39">
        <f t="shared" ref="E10:E73" si="0">C10*D10</f>
        <v>0</v>
      </c>
    </row>
    <row r="11" spans="1:14" ht="22.5" hidden="1" customHeight="1" x14ac:dyDescent="0.2">
      <c r="A11" s="10" t="s">
        <v>78</v>
      </c>
      <c r="B11" s="11" t="s">
        <v>5</v>
      </c>
      <c r="C11" s="39">
        <v>250000</v>
      </c>
      <c r="D11" s="12"/>
      <c r="E11" s="39">
        <f t="shared" si="0"/>
        <v>0</v>
      </c>
    </row>
    <row r="12" spans="1:14" ht="22.5" hidden="1" customHeight="1" x14ac:dyDescent="0.2">
      <c r="A12" s="10" t="s">
        <v>79</v>
      </c>
      <c r="B12" s="11" t="s">
        <v>5</v>
      </c>
      <c r="C12" s="39">
        <v>275000</v>
      </c>
      <c r="D12" s="12"/>
      <c r="E12" s="39">
        <f t="shared" si="0"/>
        <v>0</v>
      </c>
    </row>
    <row r="13" spans="1:14" ht="22.5" hidden="1" customHeight="1" x14ac:dyDescent="0.2">
      <c r="A13" s="10" t="s">
        <v>80</v>
      </c>
      <c r="B13" s="11" t="s">
        <v>5</v>
      </c>
      <c r="C13" s="39">
        <v>450000</v>
      </c>
      <c r="D13" s="12"/>
      <c r="E13" s="39">
        <f t="shared" si="0"/>
        <v>0</v>
      </c>
    </row>
    <row r="14" spans="1:14" ht="22.5" hidden="1" customHeight="1" x14ac:dyDescent="0.2">
      <c r="A14" s="10" t="s">
        <v>81</v>
      </c>
      <c r="B14" s="11" t="s">
        <v>5</v>
      </c>
      <c r="C14" s="39">
        <v>450000</v>
      </c>
      <c r="D14" s="12"/>
      <c r="E14" s="39">
        <f t="shared" si="0"/>
        <v>0</v>
      </c>
    </row>
    <row r="15" spans="1:14" ht="22.5" hidden="1" customHeight="1" x14ac:dyDescent="0.2">
      <c r="A15" s="10" t="s">
        <v>93</v>
      </c>
      <c r="B15" s="11" t="s">
        <v>5</v>
      </c>
      <c r="C15" s="39">
        <v>337500</v>
      </c>
      <c r="D15" s="12"/>
      <c r="E15" s="39">
        <f t="shared" si="0"/>
        <v>0</v>
      </c>
    </row>
    <row r="16" spans="1:14" ht="22.5" hidden="1" customHeight="1" x14ac:dyDescent="0.25">
      <c r="A16" s="10" t="s">
        <v>95</v>
      </c>
      <c r="B16" s="11" t="s">
        <v>5</v>
      </c>
      <c r="C16" s="39">
        <v>375000</v>
      </c>
      <c r="D16" s="12"/>
      <c r="E16" s="39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5">
      <c r="A17" s="10" t="s">
        <v>94</v>
      </c>
      <c r="B17" s="11" t="s">
        <v>5</v>
      </c>
      <c r="C17" s="39">
        <v>412500</v>
      </c>
      <c r="D17" s="12"/>
      <c r="E17" s="39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5">
      <c r="A18" s="10" t="s">
        <v>96</v>
      </c>
      <c r="B18" s="11" t="s">
        <v>5</v>
      </c>
      <c r="C18" s="39">
        <v>487500</v>
      </c>
      <c r="D18" s="12"/>
      <c r="E18" s="39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5">
      <c r="A19" s="10" t="s">
        <v>97</v>
      </c>
      <c r="B19" s="11" t="s">
        <v>5</v>
      </c>
      <c r="C19" s="39">
        <v>562500</v>
      </c>
      <c r="D19" s="12"/>
      <c r="E19" s="39">
        <f t="shared" si="0"/>
        <v>0</v>
      </c>
      <c r="H19" s="36"/>
      <c r="I19" s="37"/>
      <c r="J19" s="37"/>
      <c r="K19" s="38"/>
      <c r="L19" s="38"/>
      <c r="M19" s="38"/>
      <c r="N19" s="38"/>
    </row>
    <row r="20" spans="1:14" ht="22.5" customHeight="1" x14ac:dyDescent="0.3">
      <c r="A20" s="9" t="s">
        <v>8</v>
      </c>
      <c r="B20" s="7"/>
      <c r="C20" s="40"/>
      <c r="D20" s="12"/>
      <c r="E20" s="39"/>
    </row>
    <row r="21" spans="1:14" ht="22.5" customHeight="1" x14ac:dyDescent="0.2">
      <c r="A21" s="10" t="s">
        <v>89</v>
      </c>
      <c r="B21" s="11" t="s">
        <v>5</v>
      </c>
      <c r="C21" s="39">
        <v>750000</v>
      </c>
      <c r="D21" s="12">
        <f>ROUNDUP($D$2/2,0)</f>
        <v>4</v>
      </c>
      <c r="E21" s="39">
        <f t="shared" si="0"/>
        <v>3000000</v>
      </c>
    </row>
    <row r="22" spans="1:14" ht="22.5" hidden="1" customHeight="1" x14ac:dyDescent="0.2">
      <c r="A22" s="10" t="s">
        <v>90</v>
      </c>
      <c r="B22" s="11" t="s">
        <v>5</v>
      </c>
      <c r="C22" s="39">
        <v>950000</v>
      </c>
      <c r="D22" s="12"/>
      <c r="E22" s="39">
        <f t="shared" si="0"/>
        <v>0</v>
      </c>
    </row>
    <row r="23" spans="1:14" ht="22.5" hidden="1" customHeight="1" x14ac:dyDescent="0.2">
      <c r="A23" s="10" t="s">
        <v>91</v>
      </c>
      <c r="B23" s="11" t="s">
        <v>5</v>
      </c>
      <c r="C23" s="39">
        <v>300000</v>
      </c>
      <c r="D23" s="12"/>
      <c r="E23" s="39">
        <f t="shared" si="0"/>
        <v>0</v>
      </c>
    </row>
    <row r="24" spans="1:14" ht="22.5" hidden="1" customHeight="1" x14ac:dyDescent="0.2">
      <c r="A24" s="13" t="s">
        <v>9</v>
      </c>
      <c r="B24" s="11" t="s">
        <v>5</v>
      </c>
      <c r="C24" s="39">
        <v>1250000</v>
      </c>
      <c r="D24" s="12"/>
      <c r="E24" s="39">
        <f t="shared" si="0"/>
        <v>0</v>
      </c>
    </row>
    <row r="25" spans="1:14" ht="22.5" hidden="1" customHeight="1" x14ac:dyDescent="0.2">
      <c r="A25" s="13" t="s">
        <v>10</v>
      </c>
      <c r="B25" s="11" t="s">
        <v>5</v>
      </c>
      <c r="C25" s="39">
        <v>1200000</v>
      </c>
      <c r="D25" s="12"/>
      <c r="E25" s="39">
        <f t="shared" si="0"/>
        <v>0</v>
      </c>
    </row>
    <row r="26" spans="1:14" ht="22.5" hidden="1" customHeight="1" x14ac:dyDescent="0.2">
      <c r="A26" s="13" t="s">
        <v>11</v>
      </c>
      <c r="B26" s="11" t="s">
        <v>5</v>
      </c>
      <c r="C26" s="39">
        <v>1350000</v>
      </c>
      <c r="D26" s="12"/>
      <c r="E26" s="39">
        <f t="shared" si="0"/>
        <v>0</v>
      </c>
    </row>
    <row r="27" spans="1:14" ht="22.5" hidden="1" customHeight="1" x14ac:dyDescent="0.2">
      <c r="A27" s="13" t="s">
        <v>12</v>
      </c>
      <c r="B27" s="11" t="s">
        <v>5</v>
      </c>
      <c r="C27" s="39">
        <v>300000</v>
      </c>
      <c r="D27" s="12"/>
      <c r="E27" s="39">
        <f t="shared" si="0"/>
        <v>0</v>
      </c>
    </row>
    <row r="28" spans="1:14" ht="22.5" hidden="1" customHeight="1" x14ac:dyDescent="0.2">
      <c r="A28" s="10" t="s">
        <v>74</v>
      </c>
      <c r="B28" s="11" t="s">
        <v>5</v>
      </c>
      <c r="C28" s="39">
        <v>1220000</v>
      </c>
      <c r="D28" s="12"/>
      <c r="E28" s="39">
        <f t="shared" si="0"/>
        <v>0</v>
      </c>
    </row>
    <row r="29" spans="1:14" ht="22.5" hidden="1" customHeight="1" x14ac:dyDescent="0.2">
      <c r="A29" s="10" t="s">
        <v>75</v>
      </c>
      <c r="B29" s="11" t="s">
        <v>5</v>
      </c>
      <c r="C29" s="39">
        <v>1620000</v>
      </c>
      <c r="D29" s="12"/>
      <c r="E29" s="39">
        <f t="shared" si="0"/>
        <v>0</v>
      </c>
    </row>
    <row r="30" spans="1:14" ht="22.5" hidden="1" customHeight="1" x14ac:dyDescent="0.2">
      <c r="A30" s="10" t="s">
        <v>82</v>
      </c>
      <c r="B30" s="11" t="s">
        <v>5</v>
      </c>
      <c r="C30" s="39">
        <v>550000</v>
      </c>
      <c r="D30" s="12"/>
      <c r="E30" s="39">
        <f t="shared" si="0"/>
        <v>0</v>
      </c>
    </row>
    <row r="31" spans="1:14" ht="22.5" customHeight="1" x14ac:dyDescent="0.3">
      <c r="A31" s="9" t="s">
        <v>13</v>
      </c>
      <c r="B31" s="7"/>
      <c r="C31" s="40"/>
      <c r="D31" s="12"/>
      <c r="E31" s="39"/>
    </row>
    <row r="32" spans="1:14" ht="22.5" hidden="1" customHeight="1" x14ac:dyDescent="0.2">
      <c r="A32" s="13" t="s">
        <v>14</v>
      </c>
      <c r="B32" s="11" t="s">
        <v>5</v>
      </c>
      <c r="C32" s="39">
        <v>610000</v>
      </c>
      <c r="D32" s="12"/>
      <c r="E32" s="39">
        <f t="shared" si="0"/>
        <v>0</v>
      </c>
    </row>
    <row r="33" spans="1:5" ht="22.5" hidden="1" customHeight="1" x14ac:dyDescent="0.2">
      <c r="A33" s="13" t="s">
        <v>15</v>
      </c>
      <c r="B33" s="11" t="s">
        <v>5</v>
      </c>
      <c r="C33" s="39">
        <v>350000</v>
      </c>
      <c r="D33" s="12"/>
      <c r="E33" s="39">
        <f t="shared" si="0"/>
        <v>0</v>
      </c>
    </row>
    <row r="34" spans="1:5" ht="22.5" hidden="1" customHeight="1" x14ac:dyDescent="0.2">
      <c r="A34" s="10" t="s">
        <v>92</v>
      </c>
      <c r="B34" s="11" t="s">
        <v>5</v>
      </c>
      <c r="C34" s="39">
        <v>600000</v>
      </c>
      <c r="D34" s="12"/>
      <c r="E34" s="39">
        <f t="shared" si="0"/>
        <v>0</v>
      </c>
    </row>
    <row r="35" spans="1:5" ht="22.5" hidden="1" customHeight="1" x14ac:dyDescent="0.2">
      <c r="A35" s="10" t="s">
        <v>83</v>
      </c>
      <c r="B35" s="11" t="s">
        <v>5</v>
      </c>
      <c r="C35" s="39">
        <v>425000</v>
      </c>
      <c r="E35" s="39"/>
    </row>
    <row r="36" spans="1:5" ht="22.5" customHeight="1" x14ac:dyDescent="0.2">
      <c r="A36" s="10" t="s">
        <v>16</v>
      </c>
      <c r="B36" s="11" t="s">
        <v>5</v>
      </c>
      <c r="C36" s="39">
        <v>260000</v>
      </c>
      <c r="D36" s="12">
        <f>ROUNDUP($D$2/2,0)</f>
        <v>4</v>
      </c>
      <c r="E36" s="39">
        <f>C36*D36</f>
        <v>1040000</v>
      </c>
    </row>
    <row r="37" spans="1:5" ht="22.5" hidden="1" customHeight="1" x14ac:dyDescent="0.2">
      <c r="A37" s="10" t="s">
        <v>17</v>
      </c>
      <c r="B37" s="11" t="s">
        <v>5</v>
      </c>
      <c r="C37" s="39">
        <v>300000</v>
      </c>
      <c r="D37" s="12"/>
      <c r="E37" s="39">
        <f t="shared" si="0"/>
        <v>0</v>
      </c>
    </row>
    <row r="38" spans="1:5" ht="22.5" hidden="1" customHeight="1" x14ac:dyDescent="0.2">
      <c r="A38" s="13" t="s">
        <v>18</v>
      </c>
      <c r="B38" s="11" t="s">
        <v>5</v>
      </c>
      <c r="C38" s="39">
        <v>316000</v>
      </c>
      <c r="D38" s="12"/>
      <c r="E38" s="39">
        <f t="shared" si="0"/>
        <v>0</v>
      </c>
    </row>
    <row r="39" spans="1:5" ht="22.5" hidden="1" customHeight="1" x14ac:dyDescent="0.2">
      <c r="A39" s="13" t="s">
        <v>19</v>
      </c>
      <c r="B39" s="11" t="s">
        <v>5</v>
      </c>
      <c r="C39" s="39">
        <v>380000</v>
      </c>
      <c r="D39" s="12"/>
      <c r="E39" s="39">
        <f t="shared" si="0"/>
        <v>0</v>
      </c>
    </row>
    <row r="40" spans="1:5" ht="22.5" hidden="1" customHeight="1" x14ac:dyDescent="0.2">
      <c r="A40" s="13" t="s">
        <v>20</v>
      </c>
      <c r="B40" s="11" t="s">
        <v>5</v>
      </c>
      <c r="C40" s="39">
        <v>440000</v>
      </c>
      <c r="D40" s="12"/>
      <c r="E40" s="39">
        <f t="shared" si="0"/>
        <v>0</v>
      </c>
    </row>
    <row r="41" spans="1:5" ht="22.5" hidden="1" customHeight="1" x14ac:dyDescent="0.2">
      <c r="A41" s="13" t="s">
        <v>21</v>
      </c>
      <c r="B41" s="11" t="s">
        <v>5</v>
      </c>
      <c r="C41" s="39">
        <v>450000</v>
      </c>
      <c r="D41" s="12"/>
      <c r="E41" s="39">
        <f t="shared" si="0"/>
        <v>0</v>
      </c>
    </row>
    <row r="42" spans="1:5" ht="22.5" hidden="1" customHeight="1" x14ac:dyDescent="0.2">
      <c r="A42" s="13" t="s">
        <v>22</v>
      </c>
      <c r="B42" s="11" t="s">
        <v>5</v>
      </c>
      <c r="C42" s="39">
        <v>350000</v>
      </c>
      <c r="D42" s="12"/>
      <c r="E42" s="39">
        <f t="shared" si="0"/>
        <v>0</v>
      </c>
    </row>
    <row r="43" spans="1:5" ht="22.5" hidden="1" customHeight="1" x14ac:dyDescent="0.2">
      <c r="A43" s="13" t="s">
        <v>23</v>
      </c>
      <c r="B43" s="11" t="s">
        <v>5</v>
      </c>
      <c r="C43" s="39">
        <v>540000</v>
      </c>
      <c r="D43" s="12"/>
      <c r="E43" s="39">
        <f t="shared" si="0"/>
        <v>0</v>
      </c>
    </row>
    <row r="44" spans="1:5" ht="22.5" hidden="1" customHeight="1" x14ac:dyDescent="0.2">
      <c r="A44" s="13" t="s">
        <v>24</v>
      </c>
      <c r="B44" s="11" t="s">
        <v>5</v>
      </c>
      <c r="C44" s="39">
        <v>490000</v>
      </c>
      <c r="D44" s="12"/>
      <c r="E44" s="39">
        <f t="shared" si="0"/>
        <v>0</v>
      </c>
    </row>
    <row r="45" spans="1:5" ht="22.5" hidden="1" customHeight="1" x14ac:dyDescent="0.2">
      <c r="A45" s="10" t="s">
        <v>76</v>
      </c>
      <c r="B45" s="11" t="s">
        <v>5</v>
      </c>
      <c r="C45" s="39">
        <v>440000</v>
      </c>
      <c r="D45" s="12"/>
      <c r="E45" s="39">
        <f t="shared" si="0"/>
        <v>0</v>
      </c>
    </row>
    <row r="46" spans="1:5" ht="22.5" hidden="1" customHeight="1" x14ac:dyDescent="0.2">
      <c r="A46" s="10" t="s">
        <v>77</v>
      </c>
      <c r="B46" s="11" t="s">
        <v>5</v>
      </c>
      <c r="C46" s="39">
        <v>390000</v>
      </c>
      <c r="D46" s="12"/>
      <c r="E46" s="39">
        <f t="shared" si="0"/>
        <v>0</v>
      </c>
    </row>
    <row r="47" spans="1:5" ht="22.5" customHeight="1" x14ac:dyDescent="0.3">
      <c r="A47" s="9" t="s">
        <v>25</v>
      </c>
      <c r="B47" s="7"/>
      <c r="C47" s="40"/>
      <c r="D47" s="12"/>
      <c r="E47" s="39"/>
    </row>
    <row r="48" spans="1:5" ht="22.5" customHeight="1" x14ac:dyDescent="0.2">
      <c r="A48" s="13" t="s">
        <v>26</v>
      </c>
      <c r="B48" s="11" t="s">
        <v>5</v>
      </c>
      <c r="C48" s="39">
        <v>495000</v>
      </c>
      <c r="D48" s="12">
        <f>ROUNDUP($D$2/2,0)</f>
        <v>4</v>
      </c>
      <c r="E48" s="39">
        <f t="shared" si="0"/>
        <v>1980000</v>
      </c>
    </row>
    <row r="49" spans="1:5" ht="22.5" hidden="1" customHeight="1" x14ac:dyDescent="0.2">
      <c r="A49" s="10" t="s">
        <v>98</v>
      </c>
      <c r="B49" s="11" t="s">
        <v>5</v>
      </c>
      <c r="C49" s="39">
        <v>680000</v>
      </c>
      <c r="D49" s="12"/>
      <c r="E49" s="39">
        <f t="shared" si="0"/>
        <v>0</v>
      </c>
    </row>
    <row r="50" spans="1:5" ht="22.5" customHeight="1" x14ac:dyDescent="0.3">
      <c r="A50" s="6" t="s">
        <v>27</v>
      </c>
      <c r="B50" s="7"/>
      <c r="C50" s="40"/>
      <c r="D50" s="12"/>
      <c r="E50" s="39"/>
    </row>
    <row r="51" spans="1:5" ht="22.5" customHeight="1" x14ac:dyDescent="0.3">
      <c r="A51" s="9" t="s">
        <v>28</v>
      </c>
      <c r="B51" s="7"/>
      <c r="C51" s="40"/>
      <c r="D51" s="12"/>
      <c r="E51" s="39"/>
    </row>
    <row r="52" spans="1:5" ht="22.5" customHeight="1" x14ac:dyDescent="0.2">
      <c r="A52" s="10" t="s">
        <v>87</v>
      </c>
      <c r="B52" s="11" t="s">
        <v>29</v>
      </c>
      <c r="C52" s="39">
        <v>75000</v>
      </c>
      <c r="D52" s="12">
        <f>D2</f>
        <v>8</v>
      </c>
      <c r="E52" s="39">
        <f>C52*D52</f>
        <v>600000</v>
      </c>
    </row>
    <row r="53" spans="1:5" ht="22.5" hidden="1" customHeight="1" x14ac:dyDescent="0.2">
      <c r="A53" s="13" t="s">
        <v>30</v>
      </c>
      <c r="B53" s="11" t="s">
        <v>29</v>
      </c>
      <c r="C53" s="39">
        <v>55000</v>
      </c>
      <c r="D53" s="12"/>
      <c r="E53" s="39">
        <f t="shared" si="0"/>
        <v>0</v>
      </c>
    </row>
    <row r="54" spans="1:5" ht="22.5" customHeight="1" x14ac:dyDescent="0.2">
      <c r="A54" s="10" t="s">
        <v>31</v>
      </c>
      <c r="B54" s="11" t="s">
        <v>29</v>
      </c>
      <c r="C54" s="39">
        <v>25000</v>
      </c>
      <c r="D54" s="12">
        <f>D2</f>
        <v>8</v>
      </c>
      <c r="E54" s="39">
        <f t="shared" si="0"/>
        <v>200000</v>
      </c>
    </row>
    <row r="55" spans="1:5" ht="22.5" customHeight="1" x14ac:dyDescent="0.2">
      <c r="A55" s="10" t="s">
        <v>109</v>
      </c>
      <c r="B55" s="11" t="s">
        <v>5</v>
      </c>
      <c r="C55" s="39">
        <v>250000</v>
      </c>
      <c r="D55" s="12">
        <v>1</v>
      </c>
      <c r="E55" s="39">
        <f t="shared" si="0"/>
        <v>250000</v>
      </c>
    </row>
    <row r="56" spans="1:5" ht="22.5" customHeight="1" x14ac:dyDescent="0.2">
      <c r="A56" s="13" t="s">
        <v>32</v>
      </c>
      <c r="B56" s="11" t="s">
        <v>29</v>
      </c>
      <c r="C56" s="39">
        <v>75000</v>
      </c>
      <c r="D56" s="12">
        <f>D2</f>
        <v>8</v>
      </c>
      <c r="E56" s="39">
        <f t="shared" si="0"/>
        <v>600000</v>
      </c>
    </row>
    <row r="57" spans="1:5" ht="22.5" customHeight="1" x14ac:dyDescent="0.2">
      <c r="A57" s="13" t="s">
        <v>33</v>
      </c>
      <c r="B57" s="11" t="s">
        <v>29</v>
      </c>
      <c r="C57" s="39">
        <v>75000</v>
      </c>
      <c r="D57" s="12">
        <f>D2</f>
        <v>8</v>
      </c>
      <c r="E57" s="39">
        <f t="shared" si="0"/>
        <v>600000</v>
      </c>
    </row>
    <row r="58" spans="1:5" ht="22.5" hidden="1" customHeight="1" x14ac:dyDescent="0.2">
      <c r="A58" s="10" t="s">
        <v>84</v>
      </c>
      <c r="B58" s="11" t="s">
        <v>29</v>
      </c>
      <c r="C58" s="39">
        <v>60000</v>
      </c>
      <c r="D58" s="12"/>
      <c r="E58" s="39">
        <f t="shared" si="0"/>
        <v>0</v>
      </c>
    </row>
    <row r="59" spans="1:5" ht="22.5" hidden="1" customHeight="1" x14ac:dyDescent="0.2">
      <c r="A59" s="10" t="s">
        <v>85</v>
      </c>
      <c r="B59" s="11" t="s">
        <v>29</v>
      </c>
      <c r="C59" s="39">
        <v>60000</v>
      </c>
      <c r="D59" s="12"/>
      <c r="E59" s="39">
        <f t="shared" si="0"/>
        <v>0</v>
      </c>
    </row>
    <row r="60" spans="1:5" ht="22.5" hidden="1" customHeight="1" x14ac:dyDescent="0.2">
      <c r="A60" s="13" t="s">
        <v>34</v>
      </c>
      <c r="B60" s="11" t="s">
        <v>5</v>
      </c>
      <c r="C60" s="39">
        <v>35000</v>
      </c>
      <c r="D60" s="12"/>
      <c r="E60" s="39">
        <f t="shared" si="0"/>
        <v>0</v>
      </c>
    </row>
    <row r="61" spans="1:5" ht="22.5" customHeight="1" x14ac:dyDescent="0.3">
      <c r="A61" s="9" t="s">
        <v>35</v>
      </c>
      <c r="B61" s="7"/>
      <c r="C61" s="41"/>
      <c r="D61" s="12"/>
      <c r="E61" s="39"/>
    </row>
    <row r="62" spans="1:5" ht="22.5" customHeight="1" x14ac:dyDescent="0.2">
      <c r="A62" s="10" t="s">
        <v>86</v>
      </c>
      <c r="B62" s="11" t="s">
        <v>29</v>
      </c>
      <c r="C62" s="39">
        <v>150000</v>
      </c>
      <c r="D62" s="12">
        <f>D2</f>
        <v>8</v>
      </c>
      <c r="E62" s="39">
        <f t="shared" si="0"/>
        <v>1200000</v>
      </c>
    </row>
    <row r="63" spans="1:5" ht="22.5" customHeight="1" x14ac:dyDescent="0.2">
      <c r="A63" s="13" t="s">
        <v>36</v>
      </c>
      <c r="B63" s="11" t="s">
        <v>29</v>
      </c>
      <c r="C63" s="39">
        <v>500000</v>
      </c>
      <c r="D63" s="12">
        <f>ROUNDUP(D2/4,0)</f>
        <v>2</v>
      </c>
      <c r="E63" s="39">
        <f t="shared" si="0"/>
        <v>1000000</v>
      </c>
    </row>
    <row r="64" spans="1:5" ht="22.5" hidden="1" customHeight="1" x14ac:dyDescent="0.3">
      <c r="A64" s="15" t="s">
        <v>37</v>
      </c>
      <c r="B64" s="7"/>
      <c r="C64" s="41"/>
      <c r="D64" s="12"/>
      <c r="E64" s="39"/>
    </row>
    <row r="65" spans="1:5" ht="22.5" hidden="1" customHeight="1" x14ac:dyDescent="0.2">
      <c r="A65" s="13" t="s">
        <v>38</v>
      </c>
      <c r="B65" s="11" t="s">
        <v>29</v>
      </c>
      <c r="C65" s="39">
        <v>90000</v>
      </c>
      <c r="D65" s="12"/>
      <c r="E65" s="39">
        <f t="shared" si="0"/>
        <v>0</v>
      </c>
    </row>
    <row r="66" spans="1:5" ht="22.5" hidden="1" customHeight="1" x14ac:dyDescent="0.2">
      <c r="A66" s="10" t="s">
        <v>107</v>
      </c>
      <c r="B66" s="11" t="s">
        <v>5</v>
      </c>
      <c r="C66" s="39">
        <v>100000</v>
      </c>
      <c r="D66" s="12"/>
      <c r="E66" s="39">
        <f t="shared" si="0"/>
        <v>0</v>
      </c>
    </row>
    <row r="67" spans="1:5" ht="22.5" customHeight="1" x14ac:dyDescent="0.3">
      <c r="A67" s="9" t="s">
        <v>39</v>
      </c>
      <c r="B67" s="7"/>
      <c r="C67" s="41"/>
      <c r="D67" s="12"/>
      <c r="E67" s="39"/>
    </row>
    <row r="68" spans="1:5" ht="22.5" customHeight="1" x14ac:dyDescent="0.2">
      <c r="A68" s="13" t="s">
        <v>40</v>
      </c>
      <c r="B68" s="11" t="s">
        <v>29</v>
      </c>
      <c r="C68" s="39">
        <v>120000</v>
      </c>
      <c r="D68" s="12">
        <f>$D$2</f>
        <v>8</v>
      </c>
      <c r="E68" s="39">
        <f t="shared" si="0"/>
        <v>960000</v>
      </c>
    </row>
    <row r="69" spans="1:5" ht="22.5" customHeight="1" x14ac:dyDescent="0.2">
      <c r="A69" s="10" t="s">
        <v>108</v>
      </c>
      <c r="B69" s="11" t="s">
        <v>5</v>
      </c>
      <c r="C69" s="39">
        <v>200000</v>
      </c>
      <c r="D69" s="12">
        <v>1</v>
      </c>
      <c r="E69" s="39">
        <f t="shared" si="0"/>
        <v>200000</v>
      </c>
    </row>
    <row r="70" spans="1:5" ht="22.5" hidden="1" customHeight="1" x14ac:dyDescent="0.2">
      <c r="A70" s="13" t="s">
        <v>72</v>
      </c>
      <c r="B70" s="11" t="s">
        <v>5</v>
      </c>
      <c r="C70" s="39">
        <v>10000</v>
      </c>
      <c r="D70" s="12"/>
      <c r="E70" s="39">
        <f t="shared" si="0"/>
        <v>0</v>
      </c>
    </row>
    <row r="71" spans="1:5" ht="22.5" hidden="1" customHeight="1" x14ac:dyDescent="0.2">
      <c r="A71" s="13" t="s">
        <v>73</v>
      </c>
      <c r="B71" s="11" t="s">
        <v>41</v>
      </c>
      <c r="C71" s="39">
        <v>10000</v>
      </c>
      <c r="D71" s="12"/>
      <c r="E71" s="39">
        <f t="shared" si="0"/>
        <v>0</v>
      </c>
    </row>
    <row r="72" spans="1:5" ht="22.5" hidden="1" customHeight="1" x14ac:dyDescent="0.2">
      <c r="A72" s="13" t="s">
        <v>42</v>
      </c>
      <c r="B72" s="11" t="s">
        <v>29</v>
      </c>
      <c r="C72" s="39">
        <v>50000</v>
      </c>
      <c r="D72" s="12"/>
      <c r="E72" s="39">
        <f t="shared" si="0"/>
        <v>0</v>
      </c>
    </row>
    <row r="73" spans="1:5" ht="22.5" customHeight="1" x14ac:dyDescent="0.2">
      <c r="A73" s="13" t="s">
        <v>43</v>
      </c>
      <c r="B73" s="11" t="s">
        <v>29</v>
      </c>
      <c r="C73" s="39">
        <v>50000</v>
      </c>
      <c r="D73" s="12">
        <f>$D$2</f>
        <v>8</v>
      </c>
      <c r="E73" s="39">
        <f t="shared" si="0"/>
        <v>400000</v>
      </c>
    </row>
    <row r="74" spans="1:5" ht="22.5" customHeight="1" x14ac:dyDescent="0.2">
      <c r="A74" s="13" t="s">
        <v>44</v>
      </c>
      <c r="B74" s="11" t="s">
        <v>29</v>
      </c>
      <c r="C74" s="39">
        <v>40000</v>
      </c>
      <c r="D74" s="12">
        <f>$D$2</f>
        <v>8</v>
      </c>
      <c r="E74" s="39">
        <f t="shared" ref="E74:E105" si="1">C74*D74</f>
        <v>320000</v>
      </c>
    </row>
    <row r="75" spans="1:5" ht="22.5" hidden="1" customHeight="1" x14ac:dyDescent="0.3">
      <c r="A75" s="9" t="s">
        <v>45</v>
      </c>
      <c r="B75" s="7"/>
      <c r="C75" s="41"/>
      <c r="D75" s="12"/>
      <c r="E75" s="39">
        <f t="shared" si="1"/>
        <v>0</v>
      </c>
    </row>
    <row r="76" spans="1:5" ht="22.5" hidden="1" customHeight="1" x14ac:dyDescent="0.2">
      <c r="A76" s="13" t="s">
        <v>46</v>
      </c>
      <c r="B76" s="11" t="s">
        <v>29</v>
      </c>
      <c r="C76" s="39">
        <v>150000</v>
      </c>
      <c r="D76" s="12"/>
      <c r="E76" s="39">
        <f t="shared" si="1"/>
        <v>0</v>
      </c>
    </row>
    <row r="77" spans="1:5" ht="22.5" hidden="1" customHeight="1" x14ac:dyDescent="0.2">
      <c r="A77" s="10" t="s">
        <v>99</v>
      </c>
      <c r="B77" s="11" t="s">
        <v>29</v>
      </c>
      <c r="C77" s="39">
        <v>35000</v>
      </c>
      <c r="D77" s="12"/>
      <c r="E77" s="39">
        <f t="shared" si="1"/>
        <v>0</v>
      </c>
    </row>
    <row r="78" spans="1:5" ht="22.5" customHeight="1" x14ac:dyDescent="0.3">
      <c r="A78" s="16" t="s">
        <v>47</v>
      </c>
      <c r="B78" s="7"/>
      <c r="C78" s="40"/>
      <c r="D78" s="12"/>
      <c r="E78" s="39"/>
    </row>
    <row r="79" spans="1:5" ht="22.5" customHeight="1" x14ac:dyDescent="0.3">
      <c r="A79" s="9" t="s">
        <v>48</v>
      </c>
      <c r="B79" s="7"/>
      <c r="C79" s="40"/>
      <c r="D79" s="12"/>
      <c r="E79" s="39"/>
    </row>
    <row r="80" spans="1:5" ht="22.5" customHeight="1" x14ac:dyDescent="0.2">
      <c r="A80" s="13" t="s">
        <v>49</v>
      </c>
      <c r="B80" s="11" t="s">
        <v>50</v>
      </c>
      <c r="C80" s="39">
        <v>480000</v>
      </c>
      <c r="D80" s="12">
        <f>IF($D$2=1,4, IF($D$2=2,4,0))</f>
        <v>0</v>
      </c>
      <c r="E80" s="39">
        <f t="shared" si="1"/>
        <v>0</v>
      </c>
    </row>
    <row r="81" spans="1:5" ht="22.5" customHeight="1" x14ac:dyDescent="0.2">
      <c r="A81" s="13" t="s">
        <v>51</v>
      </c>
      <c r="B81" s="11" t="s">
        <v>50</v>
      </c>
      <c r="C81" s="39">
        <v>550000</v>
      </c>
      <c r="D81" s="12">
        <f>IF($D$2=3,4, 0)</f>
        <v>0</v>
      </c>
      <c r="E81" s="39">
        <f t="shared" si="1"/>
        <v>0</v>
      </c>
    </row>
    <row r="82" spans="1:5" ht="22.5" customHeight="1" x14ac:dyDescent="0.2">
      <c r="A82" s="10" t="s">
        <v>52</v>
      </c>
      <c r="B82" s="11" t="s">
        <v>50</v>
      </c>
      <c r="C82" s="39">
        <v>1100000</v>
      </c>
      <c r="D82" s="12">
        <f>IF((($D$2&gt;=4)*($D$2&lt;=11))=1,4,0)</f>
        <v>4</v>
      </c>
      <c r="E82" s="39">
        <f t="shared" si="1"/>
        <v>4400000</v>
      </c>
    </row>
    <row r="83" spans="1:5" ht="22.5" customHeight="1" x14ac:dyDescent="0.2">
      <c r="A83" s="13" t="s">
        <v>53</v>
      </c>
      <c r="B83" s="11" t="s">
        <v>50</v>
      </c>
      <c r="C83" s="39">
        <v>1300000</v>
      </c>
      <c r="D83" s="12"/>
      <c r="E83" s="39">
        <f t="shared" si="1"/>
        <v>0</v>
      </c>
    </row>
    <row r="84" spans="1:5" ht="22.5" customHeight="1" x14ac:dyDescent="0.2">
      <c r="A84" s="10" t="s">
        <v>124</v>
      </c>
      <c r="B84" s="11" t="s">
        <v>50</v>
      </c>
      <c r="C84" s="39">
        <v>2720000</v>
      </c>
      <c r="D84" s="12">
        <f>IF((($D$2&gt;=10)*($D$2&lt;=11))=1,1,0)</f>
        <v>0</v>
      </c>
      <c r="E84" s="39">
        <f t="shared" ref="E84" si="2">C84*D84</f>
        <v>0</v>
      </c>
    </row>
    <row r="85" spans="1:5" ht="22.5" customHeight="1" x14ac:dyDescent="0.3">
      <c r="A85" s="9" t="s">
        <v>54</v>
      </c>
      <c r="B85" s="7"/>
      <c r="C85" s="40"/>
      <c r="D85" s="12"/>
      <c r="E85" s="39"/>
    </row>
    <row r="86" spans="1:5" ht="22.5" customHeight="1" x14ac:dyDescent="0.2">
      <c r="A86" s="13" t="s">
        <v>55</v>
      </c>
      <c r="B86" s="11" t="s">
        <v>5</v>
      </c>
      <c r="C86" s="39">
        <v>200000</v>
      </c>
      <c r="D86" s="12">
        <f>IF((($D$2&gt;=10)*($D$2&lt;=11))=1,2,1)</f>
        <v>1</v>
      </c>
      <c r="E86" s="39">
        <f t="shared" si="1"/>
        <v>200000</v>
      </c>
    </row>
    <row r="87" spans="1:5" ht="22.5" hidden="1" customHeight="1" x14ac:dyDescent="0.2">
      <c r="A87" s="10" t="s">
        <v>100</v>
      </c>
      <c r="B87" s="11" t="s">
        <v>5</v>
      </c>
      <c r="C87" s="39">
        <v>300000</v>
      </c>
      <c r="D87" s="12"/>
      <c r="E87" s="39">
        <f t="shared" si="1"/>
        <v>0</v>
      </c>
    </row>
    <row r="88" spans="1:5" ht="22.5" customHeight="1" x14ac:dyDescent="0.3">
      <c r="A88" s="9" t="s">
        <v>56</v>
      </c>
      <c r="B88" s="7"/>
      <c r="C88" s="40"/>
      <c r="D88" s="12"/>
      <c r="E88" s="39">
        <f t="shared" si="1"/>
        <v>0</v>
      </c>
    </row>
    <row r="89" spans="1:5" ht="22.5" customHeight="1" x14ac:dyDescent="0.2">
      <c r="A89" s="13" t="s">
        <v>57</v>
      </c>
      <c r="B89" s="11" t="s">
        <v>58</v>
      </c>
      <c r="C89" s="39">
        <v>200000</v>
      </c>
      <c r="D89" s="12">
        <f>ROUNDUP(D2/3,0)</f>
        <v>3</v>
      </c>
      <c r="E89" s="39">
        <f t="shared" si="1"/>
        <v>600000</v>
      </c>
    </row>
    <row r="90" spans="1:5" ht="22.5" hidden="1" customHeight="1" x14ac:dyDescent="0.3">
      <c r="A90" s="15" t="s">
        <v>105</v>
      </c>
      <c r="B90" s="7"/>
      <c r="C90" s="40"/>
      <c r="D90" s="12"/>
      <c r="E90" s="39">
        <f t="shared" si="1"/>
        <v>0</v>
      </c>
    </row>
    <row r="91" spans="1:5" ht="22.5" hidden="1" customHeight="1" x14ac:dyDescent="0.2">
      <c r="A91" s="10" t="s">
        <v>106</v>
      </c>
      <c r="B91" s="11" t="s">
        <v>58</v>
      </c>
      <c r="C91" s="39">
        <v>650000</v>
      </c>
      <c r="D91" s="12"/>
      <c r="E91" s="39">
        <f t="shared" si="1"/>
        <v>0</v>
      </c>
    </row>
    <row r="92" spans="1:5" ht="22.5" customHeight="1" x14ac:dyDescent="0.3">
      <c r="A92" s="16" t="s">
        <v>59</v>
      </c>
      <c r="B92" s="7"/>
      <c r="C92" s="40"/>
      <c r="D92" s="12"/>
      <c r="E92" s="39"/>
    </row>
    <row r="93" spans="1:5" ht="22.5" customHeight="1" x14ac:dyDescent="0.3">
      <c r="A93" s="9" t="s">
        <v>60</v>
      </c>
      <c r="B93" s="7"/>
      <c r="C93" s="40"/>
      <c r="D93" s="12"/>
      <c r="E93" s="39"/>
    </row>
    <row r="94" spans="1:5" ht="22.5" customHeight="1" x14ac:dyDescent="0.2">
      <c r="A94" s="13" t="s">
        <v>61</v>
      </c>
      <c r="B94" s="11" t="s">
        <v>50</v>
      </c>
      <c r="C94" s="39">
        <v>250000</v>
      </c>
      <c r="D94" s="12">
        <f>IF((($D$2&gt;=1)*($D$2&lt;=3))=1,4,0)</f>
        <v>0</v>
      </c>
      <c r="E94" s="39">
        <f t="shared" si="1"/>
        <v>0</v>
      </c>
    </row>
    <row r="95" spans="1:5" ht="22.5" customHeight="1" x14ac:dyDescent="0.2">
      <c r="A95" s="10" t="s">
        <v>101</v>
      </c>
      <c r="B95" s="11" t="s">
        <v>50</v>
      </c>
      <c r="C95" s="39">
        <v>250000</v>
      </c>
      <c r="D95" s="12">
        <f>IF((($D$2&gt;=4)*($D$2&lt;=11))=1,4,0)</f>
        <v>4</v>
      </c>
      <c r="E95" s="39">
        <f t="shared" si="1"/>
        <v>1000000</v>
      </c>
    </row>
    <row r="96" spans="1:5" ht="22.5" customHeight="1" x14ac:dyDescent="0.2">
      <c r="A96" s="10" t="s">
        <v>102</v>
      </c>
      <c r="B96" s="11" t="s">
        <v>50</v>
      </c>
      <c r="C96" s="39">
        <v>200000</v>
      </c>
      <c r="D96" s="12"/>
      <c r="E96" s="39">
        <f t="shared" si="1"/>
        <v>0</v>
      </c>
    </row>
    <row r="97" spans="1:5" ht="22.5" customHeight="1" x14ac:dyDescent="0.3">
      <c r="A97" s="16" t="s">
        <v>62</v>
      </c>
      <c r="B97" s="7"/>
      <c r="C97" s="40"/>
      <c r="D97" s="12"/>
      <c r="E97" s="39"/>
    </row>
    <row r="98" spans="1:5" ht="22.5" customHeight="1" x14ac:dyDescent="0.3">
      <c r="A98" s="9" t="s">
        <v>63</v>
      </c>
      <c r="B98" s="7"/>
      <c r="C98" s="40"/>
      <c r="D98" s="12"/>
      <c r="E98" s="39"/>
    </row>
    <row r="99" spans="1:5" ht="22.5" customHeight="1" x14ac:dyDescent="0.2">
      <c r="A99" s="13" t="s">
        <v>64</v>
      </c>
      <c r="B99" s="11" t="s">
        <v>116</v>
      </c>
      <c r="C99" s="39">
        <v>50000</v>
      </c>
      <c r="D99" s="12">
        <f>ROUNDUP(D2*C2*4/24,0)</f>
        <v>7</v>
      </c>
      <c r="E99" s="39">
        <f t="shared" si="1"/>
        <v>350000</v>
      </c>
    </row>
    <row r="100" spans="1:5" ht="22.5" customHeight="1" x14ac:dyDescent="0.2">
      <c r="A100" s="13" t="s">
        <v>66</v>
      </c>
      <c r="B100" s="11" t="s">
        <v>65</v>
      </c>
      <c r="C100" s="39">
        <v>100000</v>
      </c>
      <c r="D100" s="12">
        <v>1</v>
      </c>
      <c r="E100" s="39">
        <f t="shared" si="1"/>
        <v>100000</v>
      </c>
    </row>
    <row r="101" spans="1:5" ht="22.5" customHeight="1" x14ac:dyDescent="0.2">
      <c r="A101" s="13" t="s">
        <v>67</v>
      </c>
      <c r="B101" s="11" t="s">
        <v>29</v>
      </c>
      <c r="C101" s="39">
        <v>60000</v>
      </c>
      <c r="D101" s="12">
        <f>D2</f>
        <v>8</v>
      </c>
      <c r="E101" s="39">
        <f t="shared" si="1"/>
        <v>480000</v>
      </c>
    </row>
    <row r="102" spans="1:5" ht="22.5" hidden="1" customHeight="1" x14ac:dyDescent="0.3">
      <c r="A102" s="9" t="s">
        <v>68</v>
      </c>
      <c r="B102" s="7"/>
      <c r="C102" s="14"/>
      <c r="D102" s="12"/>
      <c r="E102" s="39">
        <f t="shared" si="1"/>
        <v>0</v>
      </c>
    </row>
    <row r="103" spans="1:5" ht="22.5" hidden="1" customHeight="1" x14ac:dyDescent="0.2">
      <c r="A103" s="13" t="s">
        <v>69</v>
      </c>
      <c r="B103" s="11" t="s">
        <v>58</v>
      </c>
      <c r="C103" s="12">
        <v>2000000</v>
      </c>
      <c r="D103" s="12"/>
      <c r="E103" s="39">
        <f t="shared" si="1"/>
        <v>0</v>
      </c>
    </row>
    <row r="104" spans="1:5" ht="22.5" hidden="1" customHeight="1" x14ac:dyDescent="0.3">
      <c r="A104" s="9" t="s">
        <v>70</v>
      </c>
      <c r="B104" s="7"/>
      <c r="C104" s="14"/>
      <c r="D104" s="12"/>
      <c r="E104" s="39">
        <f t="shared" si="1"/>
        <v>0</v>
      </c>
    </row>
    <row r="105" spans="1:5" ht="22.5" hidden="1" customHeight="1" x14ac:dyDescent="0.2">
      <c r="A105" s="13" t="s">
        <v>71</v>
      </c>
      <c r="B105" s="11" t="s">
        <v>29</v>
      </c>
      <c r="C105" s="12">
        <v>16000</v>
      </c>
      <c r="D105" s="12"/>
      <c r="E105" s="39">
        <f t="shared" si="1"/>
        <v>0</v>
      </c>
    </row>
    <row r="106" spans="1:5" ht="22.5" hidden="1" customHeight="1" x14ac:dyDescent="0.2">
      <c r="A106" s="10" t="s">
        <v>88</v>
      </c>
      <c r="B106" s="11" t="s">
        <v>5</v>
      </c>
      <c r="C106" s="12">
        <v>100000</v>
      </c>
      <c r="D106" s="12"/>
      <c r="E106" s="39">
        <f>C106*D106</f>
        <v>0</v>
      </c>
    </row>
    <row r="107" spans="1:5" s="1" customFormat="1" ht="30" customHeight="1" x14ac:dyDescent="0.2">
      <c r="A107" s="18" t="s">
        <v>117</v>
      </c>
      <c r="B107" s="17"/>
      <c r="C107" s="5"/>
      <c r="D107" s="12"/>
      <c r="E107" s="42">
        <f>SUM(E7:E106)</f>
        <v>21220000</v>
      </c>
    </row>
    <row r="108" spans="1:5" ht="36" customHeight="1" x14ac:dyDescent="0.2">
      <c r="A108" s="18" t="s">
        <v>121</v>
      </c>
      <c r="B108" s="8"/>
      <c r="C108" s="8"/>
      <c r="D108" s="8"/>
      <c r="E108" s="42">
        <f>E107/D2</f>
        <v>2652500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F8A8-959E-468C-A56E-8C194BB75659}">
  <sheetPr codeName="Sheet2"/>
  <dimension ref="A1:I12"/>
  <sheetViews>
    <sheetView tabSelected="1" zoomScale="115" zoomScaleNormal="115" workbookViewId="0">
      <selection activeCell="A2" sqref="A2:G12"/>
    </sheetView>
  </sheetViews>
  <sheetFormatPr defaultColWidth="9" defaultRowHeight="12.75" x14ac:dyDescent="0.2"/>
  <cols>
    <col min="1" max="1" width="10.1640625" customWidth="1"/>
    <col min="2" max="2" width="25.33203125" customWidth="1"/>
    <col min="3" max="3" width="22.1640625" customWidth="1"/>
    <col min="4" max="5" width="20" customWidth="1"/>
    <col min="6" max="6" width="17.33203125" customWidth="1"/>
    <col min="7" max="7" width="29" customWidth="1"/>
    <col min="9" max="9" width="14" bestFit="1" customWidth="1"/>
  </cols>
  <sheetData>
    <row r="1" spans="1:9" ht="15" x14ac:dyDescent="0.25">
      <c r="A1" s="19" t="s">
        <v>118</v>
      </c>
      <c r="B1" s="19" t="s">
        <v>121</v>
      </c>
      <c r="C1" s="19" t="s">
        <v>117</v>
      </c>
      <c r="D1" s="19" t="s">
        <v>122</v>
      </c>
      <c r="E1" s="19" t="s">
        <v>123</v>
      </c>
      <c r="F1" s="19" t="s">
        <v>119</v>
      </c>
      <c r="G1" s="19" t="s">
        <v>120</v>
      </c>
      <c r="I1" s="50" t="s">
        <v>135</v>
      </c>
    </row>
    <row r="2" spans="1:9" ht="15" x14ac:dyDescent="0.25">
      <c r="A2" s="20">
        <v>2</v>
      </c>
      <c r="B2" s="21">
        <f>'2 Pax Safari'!E46</f>
        <v>3315000</v>
      </c>
      <c r="C2" s="22">
        <f>B2*A2</f>
        <v>6630000</v>
      </c>
      <c r="D2" s="21">
        <v>4300000</v>
      </c>
      <c r="E2" s="21">
        <f t="shared" ref="E2:E12" si="0">D2*A2</f>
        <v>8600000</v>
      </c>
      <c r="F2" s="21">
        <f>E2-C2</f>
        <v>1970000</v>
      </c>
      <c r="G2" s="21">
        <f t="shared" ref="G2:G12" si="1">F2/E2*100</f>
        <v>22.906976744186046</v>
      </c>
      <c r="I2" s="21">
        <v>4300000</v>
      </c>
    </row>
    <row r="3" spans="1:9" ht="15" x14ac:dyDescent="0.25">
      <c r="A3" s="23">
        <v>3</v>
      </c>
      <c r="B3" s="24">
        <f>'3 Pax Safari'!E47</f>
        <v>2613333.3333333335</v>
      </c>
      <c r="C3" s="24">
        <f t="shared" ref="C3:C12" si="2">B3*A3</f>
        <v>7840000</v>
      </c>
      <c r="D3" s="25">
        <v>4100000</v>
      </c>
      <c r="E3" s="25">
        <f t="shared" si="0"/>
        <v>12300000</v>
      </c>
      <c r="F3" s="25">
        <f t="shared" ref="F3:F12" si="3">E3-C3</f>
        <v>4460000</v>
      </c>
      <c r="G3" s="25">
        <f t="shared" si="1"/>
        <v>36.260162601626014</v>
      </c>
      <c r="I3" s="25">
        <v>4100000</v>
      </c>
    </row>
    <row r="4" spans="1:9" ht="15" x14ac:dyDescent="0.25">
      <c r="A4" s="23">
        <v>4</v>
      </c>
      <c r="B4" s="24">
        <f>'4 Pax Safari'!E47</f>
        <v>3050000</v>
      </c>
      <c r="C4" s="24">
        <f t="shared" si="2"/>
        <v>12200000</v>
      </c>
      <c r="D4" s="25">
        <v>3900000</v>
      </c>
      <c r="E4" s="25">
        <f t="shared" si="0"/>
        <v>15600000</v>
      </c>
      <c r="F4" s="25">
        <f t="shared" si="3"/>
        <v>3400000</v>
      </c>
      <c r="G4" s="25">
        <f t="shared" si="1"/>
        <v>21.794871794871796</v>
      </c>
      <c r="I4" s="25">
        <v>3900000</v>
      </c>
    </row>
    <row r="5" spans="1:9" ht="15" x14ac:dyDescent="0.25">
      <c r="A5" s="29">
        <v>5</v>
      </c>
      <c r="B5" s="30">
        <f>'5 Pax Safari'!E47</f>
        <v>2782000</v>
      </c>
      <c r="C5" s="30">
        <f t="shared" si="2"/>
        <v>13910000</v>
      </c>
      <c r="D5" s="25">
        <v>3900000</v>
      </c>
      <c r="E5" s="31">
        <f t="shared" si="0"/>
        <v>19500000</v>
      </c>
      <c r="F5" s="31">
        <f t="shared" si="3"/>
        <v>5590000</v>
      </c>
      <c r="G5" s="31">
        <f t="shared" si="1"/>
        <v>28.666666666666668</v>
      </c>
      <c r="I5" s="25">
        <v>3900000</v>
      </c>
    </row>
    <row r="6" spans="1:9" ht="15" x14ac:dyDescent="0.25">
      <c r="A6" s="29">
        <v>6</v>
      </c>
      <c r="B6" s="30">
        <f>'6 Pax Safari'!E47</f>
        <v>2686666.6666666665</v>
      </c>
      <c r="C6" s="30">
        <f t="shared" si="2"/>
        <v>16120000</v>
      </c>
      <c r="D6" s="31">
        <v>3700000</v>
      </c>
      <c r="E6" s="31">
        <f t="shared" si="0"/>
        <v>22200000</v>
      </c>
      <c r="F6" s="31">
        <f t="shared" si="3"/>
        <v>6080000</v>
      </c>
      <c r="G6" s="31">
        <f t="shared" si="1"/>
        <v>27.387387387387385</v>
      </c>
      <c r="I6" s="31">
        <v>3700000</v>
      </c>
    </row>
    <row r="7" spans="1:9" ht="15" x14ac:dyDescent="0.25">
      <c r="A7" s="29">
        <v>7</v>
      </c>
      <c r="B7" s="30">
        <f>'7 Pax Safari'!E47</f>
        <v>2475714.2857142859</v>
      </c>
      <c r="C7" s="30">
        <f t="shared" si="2"/>
        <v>17330000</v>
      </c>
      <c r="D7" s="31">
        <v>3700000</v>
      </c>
      <c r="E7" s="31">
        <f t="shared" si="0"/>
        <v>25900000</v>
      </c>
      <c r="F7" s="31">
        <f t="shared" si="3"/>
        <v>8570000</v>
      </c>
      <c r="G7" s="31">
        <f t="shared" si="1"/>
        <v>33.08880308880309</v>
      </c>
      <c r="I7" s="31">
        <v>3700000</v>
      </c>
    </row>
    <row r="8" spans="1:9" ht="15" x14ac:dyDescent="0.25">
      <c r="A8" s="32">
        <v>8</v>
      </c>
      <c r="B8" s="33">
        <f>'8 Pax Safari'!E47</f>
        <v>2442500</v>
      </c>
      <c r="C8" s="34">
        <f t="shared" si="2"/>
        <v>19540000</v>
      </c>
      <c r="D8" s="35">
        <v>3500000</v>
      </c>
      <c r="E8" s="35">
        <f t="shared" si="0"/>
        <v>28000000</v>
      </c>
      <c r="F8" s="35">
        <f t="shared" si="3"/>
        <v>8460000</v>
      </c>
      <c r="G8" s="35">
        <f t="shared" si="1"/>
        <v>30.214285714285715</v>
      </c>
      <c r="I8" s="35">
        <v>3500000</v>
      </c>
    </row>
    <row r="9" spans="1:9" ht="15" x14ac:dyDescent="0.25">
      <c r="A9" s="32">
        <v>9</v>
      </c>
      <c r="B9" s="34">
        <f>'9 Pax Safari'!E47</f>
        <v>2361111.111111111</v>
      </c>
      <c r="C9" s="34">
        <f t="shared" si="2"/>
        <v>21250000</v>
      </c>
      <c r="D9" s="35">
        <v>3500000</v>
      </c>
      <c r="E9" s="35">
        <f t="shared" si="0"/>
        <v>31500000</v>
      </c>
      <c r="F9" s="35">
        <f t="shared" si="3"/>
        <v>10250000</v>
      </c>
      <c r="G9" s="35">
        <f t="shared" si="1"/>
        <v>32.539682539682538</v>
      </c>
      <c r="I9" s="35">
        <v>3500000</v>
      </c>
    </row>
    <row r="10" spans="1:9" ht="15" x14ac:dyDescent="0.25">
      <c r="A10" s="32">
        <v>10</v>
      </c>
      <c r="B10" s="34">
        <f>'10 Pax Safari'!E47</f>
        <v>2582000</v>
      </c>
      <c r="C10" s="34">
        <f t="shared" si="2"/>
        <v>25820000</v>
      </c>
      <c r="D10" s="35">
        <v>3500000</v>
      </c>
      <c r="E10" s="35">
        <f t="shared" si="0"/>
        <v>35000000</v>
      </c>
      <c r="F10" s="35">
        <f t="shared" si="3"/>
        <v>9180000</v>
      </c>
      <c r="G10" s="35">
        <f t="shared" si="1"/>
        <v>26.228571428571428</v>
      </c>
      <c r="I10" s="35">
        <v>3500000</v>
      </c>
    </row>
    <row r="11" spans="1:9" ht="15" x14ac:dyDescent="0.25">
      <c r="A11" s="26">
        <v>11</v>
      </c>
      <c r="B11" s="27">
        <f>'11 Pax Safari'!E47</f>
        <v>2457272.7272727271</v>
      </c>
      <c r="C11" s="27">
        <f t="shared" si="2"/>
        <v>27029999.999999996</v>
      </c>
      <c r="D11" s="28">
        <v>3400000</v>
      </c>
      <c r="E11" s="28">
        <f t="shared" si="0"/>
        <v>37400000</v>
      </c>
      <c r="F11" s="28">
        <f t="shared" si="3"/>
        <v>10370000.000000004</v>
      </c>
      <c r="G11" s="28">
        <f t="shared" si="1"/>
        <v>27.727272727272741</v>
      </c>
      <c r="I11" s="28">
        <v>3400000</v>
      </c>
    </row>
    <row r="12" spans="1:9" ht="15" x14ac:dyDescent="0.25">
      <c r="A12" s="26">
        <v>12</v>
      </c>
      <c r="B12" s="27">
        <f>'12 Pax Safari'!E47</f>
        <v>2636666.6666666665</v>
      </c>
      <c r="C12" s="27">
        <f t="shared" si="2"/>
        <v>31640000</v>
      </c>
      <c r="D12" s="28">
        <v>3400000</v>
      </c>
      <c r="E12" s="28">
        <f t="shared" si="0"/>
        <v>40800000</v>
      </c>
      <c r="F12" s="28">
        <f t="shared" si="3"/>
        <v>9160000</v>
      </c>
      <c r="G12" s="28">
        <f t="shared" si="1"/>
        <v>22.450980392156865</v>
      </c>
      <c r="I12" s="28">
        <v>3400000</v>
      </c>
    </row>
  </sheetData>
  <pageMargins left="0.25" right="0.25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B83-4A86-4DBB-95C9-884DA1AF90A3}">
  <sheetPr codeName="Sheet3">
    <pageSetUpPr fitToPage="1"/>
  </sheetPr>
  <dimension ref="A1:N108"/>
  <sheetViews>
    <sheetView topLeftCell="A55" zoomScale="70" zoomScaleNormal="70" workbookViewId="0">
      <selection activeCell="D82" sqref="D8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2">
      <c r="A2" s="3" t="s">
        <v>125</v>
      </c>
      <c r="B2" s="3">
        <v>56</v>
      </c>
      <c r="C2" s="3">
        <v>5</v>
      </c>
      <c r="D2" s="43">
        <v>8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hidden="1" customHeight="1" x14ac:dyDescent="0.2">
      <c r="A7" s="10" t="s">
        <v>103</v>
      </c>
      <c r="B7" s="11" t="s">
        <v>5</v>
      </c>
      <c r="C7" s="39">
        <v>500000</v>
      </c>
      <c r="D7" s="12"/>
      <c r="E7" s="12"/>
    </row>
    <row r="8" spans="1:14" ht="22.5" hidden="1" customHeight="1" x14ac:dyDescent="0.2">
      <c r="A8" s="10" t="s">
        <v>104</v>
      </c>
      <c r="B8" s="11" t="s">
        <v>5</v>
      </c>
      <c r="C8" s="39">
        <v>560000</v>
      </c>
      <c r="D8" s="12"/>
      <c r="E8" s="12"/>
    </row>
    <row r="9" spans="1:14" ht="22.5" customHeight="1" x14ac:dyDescent="0.2">
      <c r="A9" s="13" t="s">
        <v>6</v>
      </c>
      <c r="B9" s="11" t="s">
        <v>5</v>
      </c>
      <c r="C9" s="39">
        <v>435000</v>
      </c>
      <c r="D9" s="12">
        <f>ROUNDUP($D$2/2,0)</f>
        <v>4</v>
      </c>
      <c r="E9" s="39">
        <f>C9*D9</f>
        <v>1740000</v>
      </c>
    </row>
    <row r="10" spans="1:14" ht="22.5" hidden="1" customHeight="1" x14ac:dyDescent="0.2">
      <c r="A10" s="13" t="s">
        <v>7</v>
      </c>
      <c r="B10" s="11" t="s">
        <v>5</v>
      </c>
      <c r="C10" s="39">
        <v>300000</v>
      </c>
      <c r="D10" s="12"/>
      <c r="E10" s="39">
        <f t="shared" ref="E10:E73" si="0">C10*D10</f>
        <v>0</v>
      </c>
    </row>
    <row r="11" spans="1:14" ht="22.5" hidden="1" customHeight="1" x14ac:dyDescent="0.2">
      <c r="A11" s="10" t="s">
        <v>78</v>
      </c>
      <c r="B11" s="11" t="s">
        <v>5</v>
      </c>
      <c r="C11" s="39">
        <v>250000</v>
      </c>
      <c r="D11" s="12"/>
      <c r="E11" s="39">
        <f t="shared" si="0"/>
        <v>0</v>
      </c>
    </row>
    <row r="12" spans="1:14" ht="22.5" hidden="1" customHeight="1" x14ac:dyDescent="0.2">
      <c r="A12" s="10" t="s">
        <v>79</v>
      </c>
      <c r="B12" s="11" t="s">
        <v>5</v>
      </c>
      <c r="C12" s="39">
        <v>275000</v>
      </c>
      <c r="D12" s="12"/>
      <c r="E12" s="39">
        <f t="shared" si="0"/>
        <v>0</v>
      </c>
    </row>
    <row r="13" spans="1:14" ht="22.5" hidden="1" customHeight="1" x14ac:dyDescent="0.2">
      <c r="A13" s="10" t="s">
        <v>80</v>
      </c>
      <c r="B13" s="11" t="s">
        <v>5</v>
      </c>
      <c r="C13" s="39">
        <v>450000</v>
      </c>
      <c r="D13" s="12"/>
      <c r="E13" s="39">
        <f t="shared" si="0"/>
        <v>0</v>
      </c>
    </row>
    <row r="14" spans="1:14" ht="22.5" hidden="1" customHeight="1" x14ac:dyDescent="0.2">
      <c r="A14" s="10" t="s">
        <v>81</v>
      </c>
      <c r="B14" s="11" t="s">
        <v>5</v>
      </c>
      <c r="C14" s="39">
        <v>450000</v>
      </c>
      <c r="D14" s="12"/>
      <c r="E14" s="39">
        <f t="shared" si="0"/>
        <v>0</v>
      </c>
    </row>
    <row r="15" spans="1:14" ht="22.5" hidden="1" customHeight="1" x14ac:dyDescent="0.2">
      <c r="A15" s="10" t="s">
        <v>93</v>
      </c>
      <c r="B15" s="11" t="s">
        <v>5</v>
      </c>
      <c r="C15" s="39">
        <v>337500</v>
      </c>
      <c r="D15" s="12"/>
      <c r="E15" s="39">
        <f t="shared" si="0"/>
        <v>0</v>
      </c>
    </row>
    <row r="16" spans="1:14" ht="22.5" hidden="1" customHeight="1" x14ac:dyDescent="0.25">
      <c r="A16" s="10" t="s">
        <v>95</v>
      </c>
      <c r="B16" s="11" t="s">
        <v>5</v>
      </c>
      <c r="C16" s="39">
        <v>375000</v>
      </c>
      <c r="D16" s="12"/>
      <c r="E16" s="39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5">
      <c r="A17" s="10" t="s">
        <v>94</v>
      </c>
      <c r="B17" s="11" t="s">
        <v>5</v>
      </c>
      <c r="C17" s="39">
        <v>412500</v>
      </c>
      <c r="D17" s="12"/>
      <c r="E17" s="39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5">
      <c r="A18" s="10" t="s">
        <v>96</v>
      </c>
      <c r="B18" s="11" t="s">
        <v>5</v>
      </c>
      <c r="C18" s="39">
        <v>487500</v>
      </c>
      <c r="D18" s="12"/>
      <c r="E18" s="39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5">
      <c r="A19" s="10" t="s">
        <v>97</v>
      </c>
      <c r="B19" s="11" t="s">
        <v>5</v>
      </c>
      <c r="C19" s="39">
        <v>562500</v>
      </c>
      <c r="D19" s="12"/>
      <c r="E19" s="39">
        <f t="shared" si="0"/>
        <v>0</v>
      </c>
      <c r="H19" s="36"/>
      <c r="I19" s="37"/>
      <c r="J19" s="37"/>
      <c r="K19" s="38"/>
      <c r="L19" s="38"/>
      <c r="M19" s="38"/>
      <c r="N19" s="38"/>
    </row>
    <row r="20" spans="1:14" ht="22.5" customHeight="1" x14ac:dyDescent="0.3">
      <c r="A20" s="9" t="s">
        <v>8</v>
      </c>
      <c r="B20" s="7"/>
      <c r="C20" s="40"/>
      <c r="D20" s="12"/>
      <c r="E20" s="39"/>
    </row>
    <row r="21" spans="1:14" ht="22.5" customHeight="1" x14ac:dyDescent="0.2">
      <c r="A21" s="10" t="s">
        <v>89</v>
      </c>
      <c r="B21" s="11" t="s">
        <v>5</v>
      </c>
      <c r="C21" s="39">
        <v>750000</v>
      </c>
      <c r="D21" s="12">
        <f>ROUNDUP($D$2/2,0)</f>
        <v>4</v>
      </c>
      <c r="E21" s="39">
        <f t="shared" si="0"/>
        <v>3000000</v>
      </c>
    </row>
    <row r="22" spans="1:14" ht="22.5" hidden="1" customHeight="1" x14ac:dyDescent="0.2">
      <c r="A22" s="10" t="s">
        <v>90</v>
      </c>
      <c r="B22" s="11" t="s">
        <v>5</v>
      </c>
      <c r="C22" s="39">
        <v>950000</v>
      </c>
      <c r="D22" s="12"/>
      <c r="E22" s="39">
        <f t="shared" si="0"/>
        <v>0</v>
      </c>
    </row>
    <row r="23" spans="1:14" ht="22.5" hidden="1" customHeight="1" x14ac:dyDescent="0.2">
      <c r="A23" s="10" t="s">
        <v>91</v>
      </c>
      <c r="B23" s="11" t="s">
        <v>5</v>
      </c>
      <c r="C23" s="39">
        <v>300000</v>
      </c>
      <c r="D23" s="12"/>
      <c r="E23" s="39">
        <f t="shared" si="0"/>
        <v>0</v>
      </c>
    </row>
    <row r="24" spans="1:14" ht="22.5" hidden="1" customHeight="1" x14ac:dyDescent="0.2">
      <c r="A24" s="13" t="s">
        <v>9</v>
      </c>
      <c r="B24" s="11" t="s">
        <v>5</v>
      </c>
      <c r="C24" s="39">
        <v>1250000</v>
      </c>
      <c r="D24" s="12"/>
      <c r="E24" s="39">
        <f t="shared" si="0"/>
        <v>0</v>
      </c>
    </row>
    <row r="25" spans="1:14" ht="22.5" hidden="1" customHeight="1" x14ac:dyDescent="0.2">
      <c r="A25" s="13" t="s">
        <v>10</v>
      </c>
      <c r="B25" s="11" t="s">
        <v>5</v>
      </c>
      <c r="C25" s="39">
        <v>1200000</v>
      </c>
      <c r="D25" s="12"/>
      <c r="E25" s="39">
        <f t="shared" si="0"/>
        <v>0</v>
      </c>
    </row>
    <row r="26" spans="1:14" ht="22.5" hidden="1" customHeight="1" x14ac:dyDescent="0.2">
      <c r="A26" s="13" t="s">
        <v>11</v>
      </c>
      <c r="B26" s="11" t="s">
        <v>5</v>
      </c>
      <c r="C26" s="39">
        <v>1350000</v>
      </c>
      <c r="D26" s="12"/>
      <c r="E26" s="39">
        <f t="shared" si="0"/>
        <v>0</v>
      </c>
    </row>
    <row r="27" spans="1:14" ht="22.5" hidden="1" customHeight="1" x14ac:dyDescent="0.2">
      <c r="A27" s="13" t="s">
        <v>12</v>
      </c>
      <c r="B27" s="11" t="s">
        <v>5</v>
      </c>
      <c r="C27" s="39">
        <v>300000</v>
      </c>
      <c r="D27" s="12"/>
      <c r="E27" s="39">
        <f t="shared" si="0"/>
        <v>0</v>
      </c>
    </row>
    <row r="28" spans="1:14" ht="22.5" hidden="1" customHeight="1" x14ac:dyDescent="0.2">
      <c r="A28" s="10" t="s">
        <v>74</v>
      </c>
      <c r="B28" s="11" t="s">
        <v>5</v>
      </c>
      <c r="C28" s="39">
        <v>1220000</v>
      </c>
      <c r="D28" s="12"/>
      <c r="E28" s="39">
        <f t="shared" si="0"/>
        <v>0</v>
      </c>
    </row>
    <row r="29" spans="1:14" ht="22.5" hidden="1" customHeight="1" x14ac:dyDescent="0.2">
      <c r="A29" s="10" t="s">
        <v>75</v>
      </c>
      <c r="B29" s="11" t="s">
        <v>5</v>
      </c>
      <c r="C29" s="39">
        <v>1620000</v>
      </c>
      <c r="D29" s="12"/>
      <c r="E29" s="39">
        <f t="shared" si="0"/>
        <v>0</v>
      </c>
    </row>
    <row r="30" spans="1:14" ht="22.5" hidden="1" customHeight="1" x14ac:dyDescent="0.2">
      <c r="A30" s="10" t="s">
        <v>82</v>
      </c>
      <c r="B30" s="11" t="s">
        <v>5</v>
      </c>
      <c r="C30" s="39">
        <v>550000</v>
      </c>
      <c r="D30" s="12"/>
      <c r="E30" s="39">
        <f t="shared" si="0"/>
        <v>0</v>
      </c>
    </row>
    <row r="31" spans="1:14" ht="22.5" customHeight="1" x14ac:dyDescent="0.3">
      <c r="A31" s="9" t="s">
        <v>13</v>
      </c>
      <c r="B31" s="7"/>
      <c r="C31" s="40"/>
      <c r="D31" s="12"/>
      <c r="E31" s="39"/>
    </row>
    <row r="32" spans="1:14" ht="22.5" hidden="1" customHeight="1" x14ac:dyDescent="0.2">
      <c r="A32" s="13" t="s">
        <v>14</v>
      </c>
      <c r="B32" s="11" t="s">
        <v>5</v>
      </c>
      <c r="C32" s="39">
        <v>610000</v>
      </c>
      <c r="D32" s="12"/>
      <c r="E32" s="39">
        <f t="shared" si="0"/>
        <v>0</v>
      </c>
    </row>
    <row r="33" spans="1:5" ht="22.5" hidden="1" customHeight="1" x14ac:dyDescent="0.2">
      <c r="A33" s="13" t="s">
        <v>15</v>
      </c>
      <c r="B33" s="11" t="s">
        <v>5</v>
      </c>
      <c r="C33" s="39">
        <v>350000</v>
      </c>
      <c r="D33" s="12"/>
      <c r="E33" s="39">
        <f t="shared" si="0"/>
        <v>0</v>
      </c>
    </row>
    <row r="34" spans="1:5" ht="22.5" hidden="1" customHeight="1" x14ac:dyDescent="0.2">
      <c r="A34" s="10" t="s">
        <v>92</v>
      </c>
      <c r="B34" s="11" t="s">
        <v>5</v>
      </c>
      <c r="C34" s="39">
        <v>600000</v>
      </c>
      <c r="D34" s="12"/>
      <c r="E34" s="39">
        <f t="shared" si="0"/>
        <v>0</v>
      </c>
    </row>
    <row r="35" spans="1:5" ht="22.5" hidden="1" customHeight="1" x14ac:dyDescent="0.2">
      <c r="A35" s="10" t="s">
        <v>83</v>
      </c>
      <c r="B35" s="11" t="s">
        <v>5</v>
      </c>
      <c r="C35" s="39">
        <v>425000</v>
      </c>
      <c r="E35" s="39"/>
    </row>
    <row r="36" spans="1:5" ht="22.5" customHeight="1" x14ac:dyDescent="0.2">
      <c r="A36" s="10" t="s">
        <v>16</v>
      </c>
      <c r="B36" s="11" t="s">
        <v>5</v>
      </c>
      <c r="C36" s="39">
        <v>260000</v>
      </c>
      <c r="D36" s="12">
        <f>ROUNDUP($D$2/2,0)</f>
        <v>4</v>
      </c>
      <c r="E36" s="39">
        <f>C36*D36</f>
        <v>1040000</v>
      </c>
    </row>
    <row r="37" spans="1:5" ht="22.5" hidden="1" customHeight="1" x14ac:dyDescent="0.2">
      <c r="A37" s="10" t="s">
        <v>17</v>
      </c>
      <c r="B37" s="11" t="s">
        <v>5</v>
      </c>
      <c r="C37" s="39">
        <v>300000</v>
      </c>
      <c r="D37" s="12"/>
      <c r="E37" s="39">
        <f t="shared" si="0"/>
        <v>0</v>
      </c>
    </row>
    <row r="38" spans="1:5" ht="22.5" hidden="1" customHeight="1" x14ac:dyDescent="0.2">
      <c r="A38" s="13" t="s">
        <v>18</v>
      </c>
      <c r="B38" s="11" t="s">
        <v>5</v>
      </c>
      <c r="C38" s="39">
        <v>316000</v>
      </c>
      <c r="D38" s="12"/>
      <c r="E38" s="39">
        <f t="shared" si="0"/>
        <v>0</v>
      </c>
    </row>
    <row r="39" spans="1:5" ht="22.5" hidden="1" customHeight="1" x14ac:dyDescent="0.2">
      <c r="A39" s="13" t="s">
        <v>19</v>
      </c>
      <c r="B39" s="11" t="s">
        <v>5</v>
      </c>
      <c r="C39" s="39">
        <v>380000</v>
      </c>
      <c r="D39" s="12"/>
      <c r="E39" s="39">
        <f t="shared" si="0"/>
        <v>0</v>
      </c>
    </row>
    <row r="40" spans="1:5" ht="22.5" hidden="1" customHeight="1" x14ac:dyDescent="0.2">
      <c r="A40" s="13" t="s">
        <v>20</v>
      </c>
      <c r="B40" s="11" t="s">
        <v>5</v>
      </c>
      <c r="C40" s="39">
        <v>440000</v>
      </c>
      <c r="D40" s="12"/>
      <c r="E40" s="39">
        <f t="shared" si="0"/>
        <v>0</v>
      </c>
    </row>
    <row r="41" spans="1:5" ht="22.5" hidden="1" customHeight="1" x14ac:dyDescent="0.2">
      <c r="A41" s="13" t="s">
        <v>21</v>
      </c>
      <c r="B41" s="11" t="s">
        <v>5</v>
      </c>
      <c r="C41" s="39">
        <v>450000</v>
      </c>
      <c r="D41" s="12"/>
      <c r="E41" s="39">
        <f t="shared" si="0"/>
        <v>0</v>
      </c>
    </row>
    <row r="42" spans="1:5" ht="22.5" hidden="1" customHeight="1" x14ac:dyDescent="0.2">
      <c r="A42" s="13" t="s">
        <v>22</v>
      </c>
      <c r="B42" s="11" t="s">
        <v>5</v>
      </c>
      <c r="C42" s="39">
        <v>350000</v>
      </c>
      <c r="D42" s="12"/>
      <c r="E42" s="39">
        <f t="shared" si="0"/>
        <v>0</v>
      </c>
    </row>
    <row r="43" spans="1:5" ht="22.5" hidden="1" customHeight="1" x14ac:dyDescent="0.2">
      <c r="A43" s="13" t="s">
        <v>23</v>
      </c>
      <c r="B43" s="11" t="s">
        <v>5</v>
      </c>
      <c r="C43" s="39">
        <v>540000</v>
      </c>
      <c r="D43" s="12"/>
      <c r="E43" s="39">
        <f t="shared" si="0"/>
        <v>0</v>
      </c>
    </row>
    <row r="44" spans="1:5" ht="22.5" hidden="1" customHeight="1" x14ac:dyDescent="0.2">
      <c r="A44" s="13" t="s">
        <v>24</v>
      </c>
      <c r="B44" s="11" t="s">
        <v>5</v>
      </c>
      <c r="C44" s="39">
        <v>490000</v>
      </c>
      <c r="D44" s="12"/>
      <c r="E44" s="39">
        <f t="shared" si="0"/>
        <v>0</v>
      </c>
    </row>
    <row r="45" spans="1:5" ht="22.5" hidden="1" customHeight="1" x14ac:dyDescent="0.2">
      <c r="A45" s="10" t="s">
        <v>76</v>
      </c>
      <c r="B45" s="11" t="s">
        <v>5</v>
      </c>
      <c r="C45" s="39">
        <v>440000</v>
      </c>
      <c r="D45" s="12"/>
      <c r="E45" s="39">
        <f t="shared" si="0"/>
        <v>0</v>
      </c>
    </row>
    <row r="46" spans="1:5" ht="22.5" hidden="1" customHeight="1" x14ac:dyDescent="0.2">
      <c r="A46" s="10" t="s">
        <v>77</v>
      </c>
      <c r="B46" s="11" t="s">
        <v>5</v>
      </c>
      <c r="C46" s="39">
        <v>390000</v>
      </c>
      <c r="D46" s="12"/>
      <c r="E46" s="39">
        <f t="shared" si="0"/>
        <v>0</v>
      </c>
    </row>
    <row r="47" spans="1:5" ht="22.5" customHeight="1" x14ac:dyDescent="0.3">
      <c r="A47" s="9" t="s">
        <v>25</v>
      </c>
      <c r="B47" s="7"/>
      <c r="C47" s="40"/>
      <c r="D47" s="12"/>
      <c r="E47" s="39"/>
    </row>
    <row r="48" spans="1:5" ht="22.5" customHeight="1" x14ac:dyDescent="0.2">
      <c r="A48" s="13" t="s">
        <v>26</v>
      </c>
      <c r="B48" s="11" t="s">
        <v>5</v>
      </c>
      <c r="C48" s="39">
        <v>495000</v>
      </c>
      <c r="D48" s="12">
        <f>ROUNDUP($D$2/2,0)</f>
        <v>4</v>
      </c>
      <c r="E48" s="39">
        <f t="shared" si="0"/>
        <v>1980000</v>
      </c>
    </row>
    <row r="49" spans="1:5" ht="22.5" hidden="1" customHeight="1" x14ac:dyDescent="0.2">
      <c r="A49" s="10" t="s">
        <v>98</v>
      </c>
      <c r="B49" s="11" t="s">
        <v>5</v>
      </c>
      <c r="C49" s="39">
        <v>680000</v>
      </c>
      <c r="D49" s="12"/>
      <c r="E49" s="39">
        <f t="shared" si="0"/>
        <v>0</v>
      </c>
    </row>
    <row r="50" spans="1:5" ht="22.5" customHeight="1" x14ac:dyDescent="0.3">
      <c r="A50" s="6" t="s">
        <v>27</v>
      </c>
      <c r="B50" s="7"/>
      <c r="C50" s="40"/>
      <c r="D50" s="12"/>
      <c r="E50" s="39"/>
    </row>
    <row r="51" spans="1:5" ht="22.5" customHeight="1" x14ac:dyDescent="0.3">
      <c r="A51" s="9" t="s">
        <v>28</v>
      </c>
      <c r="B51" s="7"/>
      <c r="C51" s="40"/>
      <c r="D51" s="12"/>
      <c r="E51" s="39"/>
    </row>
    <row r="52" spans="1:5" ht="22.5" customHeight="1" x14ac:dyDescent="0.2">
      <c r="A52" s="10" t="s">
        <v>87</v>
      </c>
      <c r="B52" s="11" t="s">
        <v>29</v>
      </c>
      <c r="C52" s="39">
        <v>75000</v>
      </c>
      <c r="D52" s="12">
        <f>D2</f>
        <v>8</v>
      </c>
      <c r="E52" s="39">
        <f>C52*D52</f>
        <v>600000</v>
      </c>
    </row>
    <row r="53" spans="1:5" ht="22.5" hidden="1" customHeight="1" x14ac:dyDescent="0.2">
      <c r="A53" s="13" t="s">
        <v>30</v>
      </c>
      <c r="B53" s="11" t="s">
        <v>29</v>
      </c>
      <c r="C53" s="39">
        <v>55000</v>
      </c>
      <c r="D53" s="12"/>
      <c r="E53" s="39">
        <f t="shared" si="0"/>
        <v>0</v>
      </c>
    </row>
    <row r="54" spans="1:5" ht="22.5" customHeight="1" x14ac:dyDescent="0.2">
      <c r="A54" s="10" t="s">
        <v>31</v>
      </c>
      <c r="B54" s="11" t="s">
        <v>29</v>
      </c>
      <c r="C54" s="39">
        <v>25000</v>
      </c>
      <c r="D54" s="12">
        <f>D2</f>
        <v>8</v>
      </c>
      <c r="E54" s="39">
        <f t="shared" si="0"/>
        <v>200000</v>
      </c>
    </row>
    <row r="55" spans="1:5" ht="22.5" customHeight="1" x14ac:dyDescent="0.2">
      <c r="A55" s="10" t="s">
        <v>109</v>
      </c>
      <c r="B55" s="11" t="s">
        <v>5</v>
      </c>
      <c r="C55" s="39">
        <v>250000</v>
      </c>
      <c r="D55" s="12">
        <v>1</v>
      </c>
      <c r="E55" s="39">
        <f t="shared" si="0"/>
        <v>250000</v>
      </c>
    </row>
    <row r="56" spans="1:5" ht="22.5" customHeight="1" x14ac:dyDescent="0.2">
      <c r="A56" s="13" t="s">
        <v>32</v>
      </c>
      <c r="B56" s="11" t="s">
        <v>29</v>
      </c>
      <c r="C56" s="39">
        <v>75000</v>
      </c>
      <c r="D56" s="12">
        <f>D2</f>
        <v>8</v>
      </c>
      <c r="E56" s="39">
        <f t="shared" si="0"/>
        <v>600000</v>
      </c>
    </row>
    <row r="57" spans="1:5" ht="22.5" customHeight="1" x14ac:dyDescent="0.2">
      <c r="A57" s="13" t="s">
        <v>33</v>
      </c>
      <c r="B57" s="11" t="s">
        <v>29</v>
      </c>
      <c r="C57" s="39">
        <v>75000</v>
      </c>
      <c r="D57" s="12">
        <f>D2</f>
        <v>8</v>
      </c>
      <c r="E57" s="39">
        <f t="shared" si="0"/>
        <v>600000</v>
      </c>
    </row>
    <row r="58" spans="1:5" ht="22.5" hidden="1" customHeight="1" x14ac:dyDescent="0.2">
      <c r="A58" s="10" t="s">
        <v>84</v>
      </c>
      <c r="B58" s="11" t="s">
        <v>29</v>
      </c>
      <c r="C58" s="39">
        <v>60000</v>
      </c>
      <c r="D58" s="12"/>
      <c r="E58" s="39">
        <f t="shared" si="0"/>
        <v>0</v>
      </c>
    </row>
    <row r="59" spans="1:5" ht="22.5" hidden="1" customHeight="1" x14ac:dyDescent="0.2">
      <c r="A59" s="10" t="s">
        <v>85</v>
      </c>
      <c r="B59" s="11" t="s">
        <v>29</v>
      </c>
      <c r="C59" s="39">
        <v>60000</v>
      </c>
      <c r="D59" s="12"/>
      <c r="E59" s="39">
        <f t="shared" si="0"/>
        <v>0</v>
      </c>
    </row>
    <row r="60" spans="1:5" ht="22.5" hidden="1" customHeight="1" x14ac:dyDescent="0.2">
      <c r="A60" s="13" t="s">
        <v>34</v>
      </c>
      <c r="B60" s="11" t="s">
        <v>5</v>
      </c>
      <c r="C60" s="39">
        <v>35000</v>
      </c>
      <c r="D60" s="12"/>
      <c r="E60" s="39">
        <f t="shared" si="0"/>
        <v>0</v>
      </c>
    </row>
    <row r="61" spans="1:5" ht="22.5" customHeight="1" x14ac:dyDescent="0.3">
      <c r="A61" s="9" t="s">
        <v>35</v>
      </c>
      <c r="B61" s="7"/>
      <c r="C61" s="41"/>
      <c r="D61" s="12"/>
      <c r="E61" s="39"/>
    </row>
    <row r="62" spans="1:5" ht="22.5" customHeight="1" x14ac:dyDescent="0.2">
      <c r="A62" s="10" t="s">
        <v>86</v>
      </c>
      <c r="B62" s="11" t="s">
        <v>29</v>
      </c>
      <c r="C62" s="39">
        <v>150000</v>
      </c>
      <c r="D62" s="12">
        <f>D2</f>
        <v>8</v>
      </c>
      <c r="E62" s="39">
        <f t="shared" si="0"/>
        <v>1200000</v>
      </c>
    </row>
    <row r="63" spans="1:5" ht="22.5" customHeight="1" x14ac:dyDescent="0.2">
      <c r="A63" s="13" t="s">
        <v>36</v>
      </c>
      <c r="B63" s="11" t="s">
        <v>29</v>
      </c>
      <c r="C63" s="39">
        <v>500000</v>
      </c>
      <c r="D63" s="12">
        <f>ROUNDUP(D2/4,0)</f>
        <v>2</v>
      </c>
      <c r="E63" s="39">
        <f t="shared" si="0"/>
        <v>1000000</v>
      </c>
    </row>
    <row r="64" spans="1:5" ht="22.5" hidden="1" customHeight="1" x14ac:dyDescent="0.3">
      <c r="A64" s="15" t="s">
        <v>37</v>
      </c>
      <c r="B64" s="7"/>
      <c r="C64" s="41"/>
      <c r="D64" s="12"/>
      <c r="E64" s="39"/>
    </row>
    <row r="65" spans="1:5" ht="22.5" hidden="1" customHeight="1" x14ac:dyDescent="0.2">
      <c r="A65" s="13" t="s">
        <v>38</v>
      </c>
      <c r="B65" s="11" t="s">
        <v>29</v>
      </c>
      <c r="C65" s="39">
        <v>90000</v>
      </c>
      <c r="D65" s="12"/>
      <c r="E65" s="39">
        <f t="shared" si="0"/>
        <v>0</v>
      </c>
    </row>
    <row r="66" spans="1:5" ht="22.5" hidden="1" customHeight="1" x14ac:dyDescent="0.2">
      <c r="A66" s="10" t="s">
        <v>107</v>
      </c>
      <c r="B66" s="11" t="s">
        <v>5</v>
      </c>
      <c r="C66" s="39">
        <v>100000</v>
      </c>
      <c r="D66" s="12"/>
      <c r="E66" s="39">
        <f t="shared" si="0"/>
        <v>0</v>
      </c>
    </row>
    <row r="67" spans="1:5" ht="22.5" customHeight="1" x14ac:dyDescent="0.3">
      <c r="A67" s="9" t="s">
        <v>39</v>
      </c>
      <c r="B67" s="7"/>
      <c r="C67" s="41"/>
      <c r="D67" s="12"/>
      <c r="E67" s="39"/>
    </row>
    <row r="68" spans="1:5" ht="22.5" customHeight="1" x14ac:dyDescent="0.2">
      <c r="A68" s="13" t="s">
        <v>40</v>
      </c>
      <c r="B68" s="11" t="s">
        <v>29</v>
      </c>
      <c r="C68" s="39">
        <v>120000</v>
      </c>
      <c r="D68" s="12">
        <f>$D$2</f>
        <v>8</v>
      </c>
      <c r="E68" s="39">
        <f t="shared" si="0"/>
        <v>960000</v>
      </c>
    </row>
    <row r="69" spans="1:5" ht="22.5" customHeight="1" x14ac:dyDescent="0.2">
      <c r="A69" s="10" t="s">
        <v>108</v>
      </c>
      <c r="B69" s="11" t="s">
        <v>5</v>
      </c>
      <c r="C69" s="39">
        <v>200000</v>
      </c>
      <c r="D69" s="12">
        <v>1</v>
      </c>
      <c r="E69" s="39">
        <f t="shared" si="0"/>
        <v>200000</v>
      </c>
    </row>
    <row r="70" spans="1:5" ht="22.5" hidden="1" customHeight="1" x14ac:dyDescent="0.2">
      <c r="A70" s="13" t="s">
        <v>72</v>
      </c>
      <c r="B70" s="11" t="s">
        <v>5</v>
      </c>
      <c r="C70" s="39">
        <v>10000</v>
      </c>
      <c r="D70" s="12"/>
      <c r="E70" s="39">
        <f t="shared" si="0"/>
        <v>0</v>
      </c>
    </row>
    <row r="71" spans="1:5" ht="22.5" hidden="1" customHeight="1" x14ac:dyDescent="0.2">
      <c r="A71" s="13" t="s">
        <v>73</v>
      </c>
      <c r="B71" s="11" t="s">
        <v>41</v>
      </c>
      <c r="C71" s="39">
        <v>10000</v>
      </c>
      <c r="D71" s="12"/>
      <c r="E71" s="39">
        <f t="shared" si="0"/>
        <v>0</v>
      </c>
    </row>
    <row r="72" spans="1:5" ht="22.5" hidden="1" customHeight="1" x14ac:dyDescent="0.2">
      <c r="A72" s="13" t="s">
        <v>42</v>
      </c>
      <c r="B72" s="11" t="s">
        <v>29</v>
      </c>
      <c r="C72" s="39">
        <v>50000</v>
      </c>
      <c r="D72" s="12"/>
      <c r="E72" s="39">
        <f t="shared" si="0"/>
        <v>0</v>
      </c>
    </row>
    <row r="73" spans="1:5" ht="22.5" customHeight="1" x14ac:dyDescent="0.2">
      <c r="A73" s="13" t="s">
        <v>43</v>
      </c>
      <c r="B73" s="11" t="s">
        <v>29</v>
      </c>
      <c r="C73" s="39">
        <v>50000</v>
      </c>
      <c r="D73" s="12">
        <f>$D$2</f>
        <v>8</v>
      </c>
      <c r="E73" s="39">
        <f t="shared" si="0"/>
        <v>400000</v>
      </c>
    </row>
    <row r="74" spans="1:5" ht="22.5" customHeight="1" x14ac:dyDescent="0.2">
      <c r="A74" s="13" t="s">
        <v>44</v>
      </c>
      <c r="B74" s="11" t="s">
        <v>29</v>
      </c>
      <c r="C74" s="39">
        <v>40000</v>
      </c>
      <c r="D74" s="12">
        <f>$D$2</f>
        <v>8</v>
      </c>
      <c r="E74" s="39">
        <f t="shared" ref="E74:E105" si="1">C74*D74</f>
        <v>320000</v>
      </c>
    </row>
    <row r="75" spans="1:5" ht="22.5" hidden="1" customHeight="1" x14ac:dyDescent="0.3">
      <c r="A75" s="9" t="s">
        <v>45</v>
      </c>
      <c r="B75" s="7"/>
      <c r="C75" s="41"/>
      <c r="D75" s="12"/>
      <c r="E75" s="39">
        <f t="shared" si="1"/>
        <v>0</v>
      </c>
    </row>
    <row r="76" spans="1:5" ht="22.5" hidden="1" customHeight="1" x14ac:dyDescent="0.2">
      <c r="A76" s="13" t="s">
        <v>46</v>
      </c>
      <c r="B76" s="11" t="s">
        <v>29</v>
      </c>
      <c r="C76" s="39">
        <v>150000</v>
      </c>
      <c r="D76" s="12"/>
      <c r="E76" s="39">
        <f t="shared" si="1"/>
        <v>0</v>
      </c>
    </row>
    <row r="77" spans="1:5" ht="22.5" hidden="1" customHeight="1" x14ac:dyDescent="0.2">
      <c r="A77" s="10" t="s">
        <v>99</v>
      </c>
      <c r="B77" s="11" t="s">
        <v>29</v>
      </c>
      <c r="C77" s="39">
        <v>35000</v>
      </c>
      <c r="D77" s="12"/>
      <c r="E77" s="39">
        <f t="shared" si="1"/>
        <v>0</v>
      </c>
    </row>
    <row r="78" spans="1:5" ht="22.5" customHeight="1" x14ac:dyDescent="0.3">
      <c r="A78" s="16" t="s">
        <v>47</v>
      </c>
      <c r="B78" s="7"/>
      <c r="C78" s="40"/>
      <c r="D78" s="12"/>
      <c r="E78" s="39"/>
    </row>
    <row r="79" spans="1:5" ht="22.5" customHeight="1" x14ac:dyDescent="0.3">
      <c r="A79" s="9" t="s">
        <v>48</v>
      </c>
      <c r="B79" s="7"/>
      <c r="C79" s="40"/>
      <c r="D79" s="12"/>
      <c r="E79" s="39"/>
    </row>
    <row r="80" spans="1:5" ht="22.5" customHeight="1" x14ac:dyDescent="0.2">
      <c r="A80" s="13" t="s">
        <v>49</v>
      </c>
      <c r="B80" s="11" t="s">
        <v>50</v>
      </c>
      <c r="C80" s="39">
        <v>480000</v>
      </c>
      <c r="D80" s="12">
        <f>IF($D$2=1,4, IF($D$2=2,4,0))</f>
        <v>0</v>
      </c>
      <c r="E80" s="39">
        <f t="shared" si="1"/>
        <v>0</v>
      </c>
    </row>
    <row r="81" spans="1:5" ht="22.5" customHeight="1" x14ac:dyDescent="0.2">
      <c r="A81" s="13" t="s">
        <v>51</v>
      </c>
      <c r="B81" s="11" t="s">
        <v>50</v>
      </c>
      <c r="C81" s="39">
        <v>550000</v>
      </c>
      <c r="D81" s="12">
        <f>IF($D$2=3,4, 0)</f>
        <v>0</v>
      </c>
      <c r="E81" s="39">
        <f t="shared" si="1"/>
        <v>0</v>
      </c>
    </row>
    <row r="82" spans="1:5" ht="22.5" customHeight="1" x14ac:dyDescent="0.2">
      <c r="A82" s="10" t="s">
        <v>52</v>
      </c>
      <c r="B82" s="11" t="s">
        <v>50</v>
      </c>
      <c r="C82" s="39">
        <v>1100000</v>
      </c>
      <c r="D82" s="12">
        <f>IF((($D$2&gt;=4)*($D$2&lt;=11))=1,4,0)</f>
        <v>4</v>
      </c>
      <c r="E82" s="39">
        <f t="shared" si="1"/>
        <v>4400000</v>
      </c>
    </row>
    <row r="83" spans="1:5" ht="22.5" customHeight="1" x14ac:dyDescent="0.2">
      <c r="A83" s="13" t="s">
        <v>53</v>
      </c>
      <c r="B83" s="11" t="s">
        <v>50</v>
      </c>
      <c r="C83" s="39">
        <v>1300000</v>
      </c>
      <c r="D83" s="12"/>
      <c r="E83" s="39">
        <f t="shared" si="1"/>
        <v>0</v>
      </c>
    </row>
    <row r="84" spans="1:5" ht="22.5" customHeight="1" x14ac:dyDescent="0.2">
      <c r="A84" s="10" t="s">
        <v>124</v>
      </c>
      <c r="B84" s="11" t="s">
        <v>50</v>
      </c>
      <c r="C84" s="39">
        <v>2720000</v>
      </c>
      <c r="D84" s="12">
        <f>IF((($D$2&gt;=10)*($D$2&lt;=11))=1,1,0)</f>
        <v>0</v>
      </c>
      <c r="E84" s="39">
        <f t="shared" si="1"/>
        <v>0</v>
      </c>
    </row>
    <row r="85" spans="1:5" ht="22.5" customHeight="1" x14ac:dyDescent="0.3">
      <c r="A85" s="9" t="s">
        <v>54</v>
      </c>
      <c r="B85" s="7"/>
      <c r="C85" s="40"/>
      <c r="D85" s="12"/>
      <c r="E85" s="39"/>
    </row>
    <row r="86" spans="1:5" ht="22.5" customHeight="1" x14ac:dyDescent="0.2">
      <c r="A86" s="13" t="s">
        <v>55</v>
      </c>
      <c r="B86" s="11" t="s">
        <v>5</v>
      </c>
      <c r="C86" s="39">
        <v>200000</v>
      </c>
      <c r="D86" s="12">
        <f>IF((($D$2&gt;=10)*($D$2&lt;=11))=1,2,1)</f>
        <v>1</v>
      </c>
      <c r="E86" s="39">
        <f t="shared" si="1"/>
        <v>200000</v>
      </c>
    </row>
    <row r="87" spans="1:5" ht="22.5" hidden="1" customHeight="1" x14ac:dyDescent="0.2">
      <c r="A87" s="10" t="s">
        <v>100</v>
      </c>
      <c r="B87" s="11" t="s">
        <v>5</v>
      </c>
      <c r="C87" s="39">
        <v>300000</v>
      </c>
      <c r="D87" s="12"/>
      <c r="E87" s="39">
        <f t="shared" si="1"/>
        <v>0</v>
      </c>
    </row>
    <row r="88" spans="1:5" ht="22.5" customHeight="1" x14ac:dyDescent="0.3">
      <c r="A88" s="9" t="s">
        <v>56</v>
      </c>
      <c r="B88" s="7"/>
      <c r="C88" s="40"/>
      <c r="D88" s="12"/>
      <c r="E88" s="39">
        <f t="shared" si="1"/>
        <v>0</v>
      </c>
    </row>
    <row r="89" spans="1:5" ht="22.5" customHeight="1" x14ac:dyDescent="0.2">
      <c r="A89" s="13" t="s">
        <v>57</v>
      </c>
      <c r="B89" s="11" t="s">
        <v>58</v>
      </c>
      <c r="C89" s="39">
        <v>200000</v>
      </c>
      <c r="D89" s="12">
        <f>ROUNDUP(D2/3,0)</f>
        <v>3</v>
      </c>
      <c r="E89" s="39">
        <f t="shared" si="1"/>
        <v>600000</v>
      </c>
    </row>
    <row r="90" spans="1:5" ht="22.5" hidden="1" customHeight="1" x14ac:dyDescent="0.3">
      <c r="A90" s="15" t="s">
        <v>105</v>
      </c>
      <c r="B90" s="7"/>
      <c r="C90" s="40"/>
      <c r="D90" s="12"/>
      <c r="E90" s="39">
        <f t="shared" si="1"/>
        <v>0</v>
      </c>
    </row>
    <row r="91" spans="1:5" ht="22.5" hidden="1" customHeight="1" x14ac:dyDescent="0.2">
      <c r="A91" s="10" t="s">
        <v>106</v>
      </c>
      <c r="B91" s="11" t="s">
        <v>58</v>
      </c>
      <c r="C91" s="39">
        <v>650000</v>
      </c>
      <c r="D91" s="12"/>
      <c r="E91" s="39">
        <f t="shared" si="1"/>
        <v>0</v>
      </c>
    </row>
    <row r="92" spans="1:5" ht="22.5" customHeight="1" x14ac:dyDescent="0.3">
      <c r="A92" s="16" t="s">
        <v>59</v>
      </c>
      <c r="B92" s="7"/>
      <c r="C92" s="40"/>
      <c r="D92" s="12"/>
      <c r="E92" s="39"/>
    </row>
    <row r="93" spans="1:5" ht="22.5" customHeight="1" x14ac:dyDescent="0.3">
      <c r="A93" s="9" t="s">
        <v>60</v>
      </c>
      <c r="B93" s="7"/>
      <c r="C93" s="40"/>
      <c r="D93" s="12"/>
      <c r="E93" s="39"/>
    </row>
    <row r="94" spans="1:5" ht="22.5" customHeight="1" x14ac:dyDescent="0.2">
      <c r="A94" s="13" t="s">
        <v>61</v>
      </c>
      <c r="B94" s="11" t="s">
        <v>50</v>
      </c>
      <c r="C94" s="39">
        <v>250000</v>
      </c>
      <c r="D94" s="12">
        <f>IF((($D$2&gt;=1)*($D$2&lt;=3))=1,4,0)</f>
        <v>0</v>
      </c>
      <c r="E94" s="39">
        <f t="shared" si="1"/>
        <v>0</v>
      </c>
    </row>
    <row r="95" spans="1:5" ht="22.5" customHeight="1" x14ac:dyDescent="0.2">
      <c r="A95" s="10" t="s">
        <v>101</v>
      </c>
      <c r="B95" s="11" t="s">
        <v>50</v>
      </c>
      <c r="C95" s="39">
        <v>250000</v>
      </c>
      <c r="D95" s="12">
        <f>IF((($D$2&gt;=4)*($D$2&lt;=11))=1,4,0)</f>
        <v>4</v>
      </c>
      <c r="E95" s="39">
        <f t="shared" si="1"/>
        <v>1000000</v>
      </c>
    </row>
    <row r="96" spans="1:5" ht="22.5" customHeight="1" x14ac:dyDescent="0.2">
      <c r="A96" s="10" t="s">
        <v>102</v>
      </c>
      <c r="B96" s="11" t="s">
        <v>50</v>
      </c>
      <c r="C96" s="39">
        <v>200000</v>
      </c>
      <c r="D96" s="12"/>
      <c r="E96" s="39">
        <f t="shared" si="1"/>
        <v>0</v>
      </c>
    </row>
    <row r="97" spans="1:5" ht="22.5" customHeight="1" x14ac:dyDescent="0.3">
      <c r="A97" s="16" t="s">
        <v>62</v>
      </c>
      <c r="B97" s="7"/>
      <c r="C97" s="40"/>
      <c r="D97" s="12"/>
      <c r="E97" s="39"/>
    </row>
    <row r="98" spans="1:5" ht="22.5" customHeight="1" x14ac:dyDescent="0.3">
      <c r="A98" s="9" t="s">
        <v>63</v>
      </c>
      <c r="B98" s="7"/>
      <c r="C98" s="40"/>
      <c r="D98" s="12"/>
      <c r="E98" s="39"/>
    </row>
    <row r="99" spans="1:5" ht="22.5" customHeight="1" x14ac:dyDescent="0.2">
      <c r="A99" s="13" t="s">
        <v>64</v>
      </c>
      <c r="B99" s="11" t="s">
        <v>116</v>
      </c>
      <c r="C99" s="39">
        <v>50000</v>
      </c>
      <c r="D99" s="12">
        <f>ROUNDUP(D2*C2*4/24,0)</f>
        <v>7</v>
      </c>
      <c r="E99" s="39">
        <f t="shared" si="1"/>
        <v>350000</v>
      </c>
    </row>
    <row r="100" spans="1:5" ht="22.5" customHeight="1" x14ac:dyDescent="0.2">
      <c r="A100" s="13" t="s">
        <v>66</v>
      </c>
      <c r="B100" s="11" t="s">
        <v>65</v>
      </c>
      <c r="C100" s="39">
        <v>100000</v>
      </c>
      <c r="D100" s="12">
        <v>1</v>
      </c>
      <c r="E100" s="39">
        <f t="shared" si="1"/>
        <v>100000</v>
      </c>
    </row>
    <row r="101" spans="1:5" ht="22.5" customHeight="1" x14ac:dyDescent="0.2">
      <c r="A101" s="13" t="s">
        <v>67</v>
      </c>
      <c r="B101" s="11" t="s">
        <v>29</v>
      </c>
      <c r="C101" s="39">
        <v>60000</v>
      </c>
      <c r="D101" s="12">
        <f>D2</f>
        <v>8</v>
      </c>
      <c r="E101" s="39">
        <f t="shared" si="1"/>
        <v>480000</v>
      </c>
    </row>
    <row r="102" spans="1:5" ht="22.5" hidden="1" customHeight="1" x14ac:dyDescent="0.3">
      <c r="A102" s="9" t="s">
        <v>68</v>
      </c>
      <c r="B102" s="7"/>
      <c r="C102" s="14"/>
      <c r="D102" s="12"/>
      <c r="E102" s="39">
        <f t="shared" si="1"/>
        <v>0</v>
      </c>
    </row>
    <row r="103" spans="1:5" ht="22.5" hidden="1" customHeight="1" x14ac:dyDescent="0.2">
      <c r="A103" s="13" t="s">
        <v>69</v>
      </c>
      <c r="B103" s="11" t="s">
        <v>58</v>
      </c>
      <c r="C103" s="12">
        <v>2000000</v>
      </c>
      <c r="D103" s="12"/>
      <c r="E103" s="39">
        <f t="shared" si="1"/>
        <v>0</v>
      </c>
    </row>
    <row r="104" spans="1:5" ht="22.5" hidden="1" customHeight="1" x14ac:dyDescent="0.3">
      <c r="A104" s="9" t="s">
        <v>70</v>
      </c>
      <c r="B104" s="7"/>
      <c r="C104" s="14"/>
      <c r="D104" s="12"/>
      <c r="E104" s="39">
        <f t="shared" si="1"/>
        <v>0</v>
      </c>
    </row>
    <row r="105" spans="1:5" ht="22.5" hidden="1" customHeight="1" x14ac:dyDescent="0.2">
      <c r="A105" s="13" t="s">
        <v>71</v>
      </c>
      <c r="B105" s="11" t="s">
        <v>29</v>
      </c>
      <c r="C105" s="12">
        <v>16000</v>
      </c>
      <c r="D105" s="12"/>
      <c r="E105" s="39">
        <f t="shared" si="1"/>
        <v>0</v>
      </c>
    </row>
    <row r="106" spans="1:5" ht="22.5" hidden="1" customHeight="1" x14ac:dyDescent="0.2">
      <c r="A106" s="10" t="s">
        <v>88</v>
      </c>
      <c r="B106" s="11" t="s">
        <v>5</v>
      </c>
      <c r="C106" s="12">
        <v>100000</v>
      </c>
      <c r="D106" s="12"/>
      <c r="E106" s="39">
        <f>C106*D106</f>
        <v>0</v>
      </c>
    </row>
    <row r="107" spans="1:5" s="1" customFormat="1" ht="30" customHeight="1" x14ac:dyDescent="0.2">
      <c r="A107" s="18" t="s">
        <v>117</v>
      </c>
      <c r="B107" s="17"/>
      <c r="C107" s="5"/>
      <c r="D107" s="12"/>
      <c r="E107" s="42">
        <f>SUM(E7:E106)</f>
        <v>21220000</v>
      </c>
    </row>
    <row r="108" spans="1:5" ht="36" customHeight="1" x14ac:dyDescent="0.2">
      <c r="A108" s="18" t="s">
        <v>121</v>
      </c>
      <c r="B108" s="8"/>
      <c r="C108" s="8"/>
      <c r="D108" s="8"/>
      <c r="E108" s="42">
        <f>E107/D2</f>
        <v>2652500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17B2-9933-3B46-A39C-A06F92D6F74D}">
  <sheetPr codeName="Sheet9">
    <pageSetUpPr fitToPage="1"/>
  </sheetPr>
  <dimension ref="A1:N108"/>
  <sheetViews>
    <sheetView zoomScale="107" zoomScaleNormal="70" workbookViewId="0">
      <selection activeCell="C50" sqref="C50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10" width="20.83203125" bestFit="1" customWidth="1"/>
    <col min="11" max="11" width="18.6640625" bestFit="1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4" ht="25.5" customHeight="1" x14ac:dyDescent="0.2">
      <c r="A1" s="2" t="s">
        <v>110</v>
      </c>
      <c r="B1" s="2" t="s">
        <v>111</v>
      </c>
      <c r="C1" s="2" t="s">
        <v>112</v>
      </c>
      <c r="D1" s="2" t="s">
        <v>113</v>
      </c>
    </row>
    <row r="2" spans="1:14" ht="27.75" customHeight="1" x14ac:dyDescent="0.2">
      <c r="A2" s="3" t="s">
        <v>125</v>
      </c>
      <c r="B2" s="3">
        <v>56</v>
      </c>
      <c r="C2" s="3">
        <v>5</v>
      </c>
      <c r="D2" s="43">
        <v>12</v>
      </c>
    </row>
    <row r="3" spans="1:14" ht="27.75" customHeight="1" x14ac:dyDescent="0.2">
      <c r="A3" s="4"/>
      <c r="B3" s="4"/>
      <c r="C3" s="4"/>
    </row>
    <row r="4" spans="1:14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</row>
    <row r="5" spans="1:14" ht="22.5" customHeight="1" x14ac:dyDescent="0.3">
      <c r="A5" s="6" t="s">
        <v>3</v>
      </c>
      <c r="B5" s="7"/>
      <c r="C5" s="7"/>
      <c r="D5" s="8"/>
      <c r="E5" s="8"/>
    </row>
    <row r="6" spans="1:14" ht="22.5" customHeight="1" x14ac:dyDescent="0.3">
      <c r="A6" s="9" t="s">
        <v>4</v>
      </c>
      <c r="B6" s="7"/>
      <c r="C6" s="7"/>
      <c r="D6" s="8"/>
      <c r="E6" s="8"/>
    </row>
    <row r="7" spans="1:14" ht="22.5" hidden="1" customHeight="1" x14ac:dyDescent="0.2">
      <c r="A7" s="10" t="s">
        <v>103</v>
      </c>
      <c r="B7" s="11" t="s">
        <v>5</v>
      </c>
      <c r="C7" s="39">
        <v>500000</v>
      </c>
      <c r="D7" s="12"/>
      <c r="E7" s="12"/>
    </row>
    <row r="8" spans="1:14" ht="22.5" hidden="1" customHeight="1" x14ac:dyDescent="0.2">
      <c r="A8" s="10" t="s">
        <v>104</v>
      </c>
      <c r="B8" s="11" t="s">
        <v>5</v>
      </c>
      <c r="C8" s="39">
        <v>560000</v>
      </c>
      <c r="D8" s="12"/>
      <c r="E8" s="12"/>
    </row>
    <row r="9" spans="1:14" ht="22.5" customHeight="1" x14ac:dyDescent="0.2">
      <c r="A9" s="13" t="s">
        <v>6</v>
      </c>
      <c r="B9" s="11" t="s">
        <v>5</v>
      </c>
      <c r="C9" s="39">
        <v>435000</v>
      </c>
      <c r="D9" s="12">
        <f>ROUNDUP($D$2/2,0)</f>
        <v>6</v>
      </c>
      <c r="E9" s="39">
        <f>C9*D9</f>
        <v>2610000</v>
      </c>
    </row>
    <row r="10" spans="1:14" ht="22.5" hidden="1" customHeight="1" x14ac:dyDescent="0.2">
      <c r="A10" s="13" t="s">
        <v>7</v>
      </c>
      <c r="B10" s="11" t="s">
        <v>5</v>
      </c>
      <c r="C10" s="39">
        <v>300000</v>
      </c>
      <c r="D10" s="12"/>
      <c r="E10" s="39">
        <f t="shared" ref="E10:E73" si="0">C10*D10</f>
        <v>0</v>
      </c>
    </row>
    <row r="11" spans="1:14" ht="22.5" hidden="1" customHeight="1" x14ac:dyDescent="0.2">
      <c r="A11" s="10" t="s">
        <v>78</v>
      </c>
      <c r="B11" s="11" t="s">
        <v>5</v>
      </c>
      <c r="C11" s="39">
        <v>250000</v>
      </c>
      <c r="D11" s="12"/>
      <c r="E11" s="39">
        <f t="shared" si="0"/>
        <v>0</v>
      </c>
    </row>
    <row r="12" spans="1:14" ht="22.5" hidden="1" customHeight="1" x14ac:dyDescent="0.2">
      <c r="A12" s="10" t="s">
        <v>79</v>
      </c>
      <c r="B12" s="11" t="s">
        <v>5</v>
      </c>
      <c r="C12" s="39">
        <v>275000</v>
      </c>
      <c r="D12" s="12"/>
      <c r="E12" s="39">
        <f t="shared" si="0"/>
        <v>0</v>
      </c>
    </row>
    <row r="13" spans="1:14" ht="22.5" hidden="1" customHeight="1" x14ac:dyDescent="0.2">
      <c r="A13" s="10" t="s">
        <v>80</v>
      </c>
      <c r="B13" s="11" t="s">
        <v>5</v>
      </c>
      <c r="C13" s="39">
        <v>450000</v>
      </c>
      <c r="D13" s="12"/>
      <c r="E13" s="39">
        <f t="shared" si="0"/>
        <v>0</v>
      </c>
    </row>
    <row r="14" spans="1:14" ht="22.5" hidden="1" customHeight="1" x14ac:dyDescent="0.2">
      <c r="A14" s="10" t="s">
        <v>81</v>
      </c>
      <c r="B14" s="11" t="s">
        <v>5</v>
      </c>
      <c r="C14" s="39">
        <v>450000</v>
      </c>
      <c r="D14" s="12"/>
      <c r="E14" s="39">
        <f t="shared" si="0"/>
        <v>0</v>
      </c>
    </row>
    <row r="15" spans="1:14" ht="22.5" hidden="1" customHeight="1" x14ac:dyDescent="0.2">
      <c r="A15" s="10" t="s">
        <v>93</v>
      </c>
      <c r="B15" s="11" t="s">
        <v>5</v>
      </c>
      <c r="C15" s="39">
        <v>337500</v>
      </c>
      <c r="D15" s="12"/>
      <c r="E15" s="39">
        <f t="shared" si="0"/>
        <v>0</v>
      </c>
    </row>
    <row r="16" spans="1:14" ht="22.5" hidden="1" customHeight="1" x14ac:dyDescent="0.25">
      <c r="A16" s="10" t="s">
        <v>95</v>
      </c>
      <c r="B16" s="11" t="s">
        <v>5</v>
      </c>
      <c r="C16" s="39">
        <v>375000</v>
      </c>
      <c r="D16" s="12"/>
      <c r="E16" s="39">
        <f t="shared" si="0"/>
        <v>0</v>
      </c>
      <c r="H16" s="36"/>
      <c r="I16" s="37"/>
      <c r="J16" s="37"/>
      <c r="K16" s="38"/>
      <c r="L16" s="38"/>
      <c r="M16" s="38"/>
      <c r="N16" s="38"/>
    </row>
    <row r="17" spans="1:14" ht="22.5" hidden="1" customHeight="1" x14ac:dyDescent="0.25">
      <c r="A17" s="10" t="s">
        <v>94</v>
      </c>
      <c r="B17" s="11" t="s">
        <v>5</v>
      </c>
      <c r="C17" s="39">
        <v>412500</v>
      </c>
      <c r="D17" s="12"/>
      <c r="E17" s="39">
        <f t="shared" si="0"/>
        <v>0</v>
      </c>
      <c r="H17" s="36"/>
      <c r="I17" s="37"/>
      <c r="J17" s="37"/>
      <c r="K17" s="38"/>
      <c r="L17" s="38"/>
      <c r="M17" s="38"/>
      <c r="N17" s="38"/>
    </row>
    <row r="18" spans="1:14" ht="22.5" hidden="1" customHeight="1" x14ac:dyDescent="0.25">
      <c r="A18" s="10" t="s">
        <v>96</v>
      </c>
      <c r="B18" s="11" t="s">
        <v>5</v>
      </c>
      <c r="C18" s="39">
        <v>487500</v>
      </c>
      <c r="D18" s="12"/>
      <c r="E18" s="39">
        <f t="shared" si="0"/>
        <v>0</v>
      </c>
      <c r="H18" s="36"/>
      <c r="I18" s="37"/>
      <c r="J18" s="37"/>
      <c r="K18" s="38"/>
      <c r="L18" s="38"/>
      <c r="M18" s="38"/>
      <c r="N18" s="38"/>
    </row>
    <row r="19" spans="1:14" ht="22.5" hidden="1" customHeight="1" x14ac:dyDescent="0.25">
      <c r="A19" s="10" t="s">
        <v>97</v>
      </c>
      <c r="B19" s="11" t="s">
        <v>5</v>
      </c>
      <c r="C19" s="39">
        <v>562500</v>
      </c>
      <c r="D19" s="12"/>
      <c r="E19" s="39">
        <f t="shared" si="0"/>
        <v>0</v>
      </c>
      <c r="H19" s="36"/>
      <c r="I19" s="37"/>
      <c r="J19" s="37"/>
      <c r="K19" s="38"/>
      <c r="L19" s="38"/>
      <c r="M19" s="38"/>
      <c r="N19" s="38"/>
    </row>
    <row r="20" spans="1:14" ht="22.5" customHeight="1" x14ac:dyDescent="0.3">
      <c r="A20" s="9" t="s">
        <v>8</v>
      </c>
      <c r="B20" s="7"/>
      <c r="C20" s="40"/>
      <c r="D20" s="12"/>
      <c r="E20" s="39"/>
    </row>
    <row r="21" spans="1:14" ht="22.5" customHeight="1" x14ac:dyDescent="0.2">
      <c r="A21" s="10" t="s">
        <v>89</v>
      </c>
      <c r="B21" s="11" t="s">
        <v>5</v>
      </c>
      <c r="C21" s="39">
        <v>750000</v>
      </c>
      <c r="D21" s="12">
        <f>ROUNDUP($D$2/2,0)</f>
        <v>6</v>
      </c>
      <c r="E21" s="39">
        <f t="shared" si="0"/>
        <v>4500000</v>
      </c>
    </row>
    <row r="22" spans="1:14" ht="22.5" hidden="1" customHeight="1" x14ac:dyDescent="0.2">
      <c r="A22" s="10" t="s">
        <v>90</v>
      </c>
      <c r="B22" s="11" t="s">
        <v>5</v>
      </c>
      <c r="C22" s="39">
        <v>950000</v>
      </c>
      <c r="D22" s="12"/>
      <c r="E22" s="39">
        <f t="shared" si="0"/>
        <v>0</v>
      </c>
    </row>
    <row r="23" spans="1:14" ht="22.5" hidden="1" customHeight="1" x14ac:dyDescent="0.2">
      <c r="A23" s="10" t="s">
        <v>91</v>
      </c>
      <c r="B23" s="11" t="s">
        <v>5</v>
      </c>
      <c r="C23" s="39">
        <v>300000</v>
      </c>
      <c r="D23" s="12"/>
      <c r="E23" s="39">
        <f t="shared" si="0"/>
        <v>0</v>
      </c>
    </row>
    <row r="24" spans="1:14" ht="22.5" hidden="1" customHeight="1" x14ac:dyDescent="0.2">
      <c r="A24" s="13" t="s">
        <v>9</v>
      </c>
      <c r="B24" s="11" t="s">
        <v>5</v>
      </c>
      <c r="C24" s="39">
        <v>1250000</v>
      </c>
      <c r="D24" s="12"/>
      <c r="E24" s="39">
        <f t="shared" si="0"/>
        <v>0</v>
      </c>
    </row>
    <row r="25" spans="1:14" ht="22.5" hidden="1" customHeight="1" x14ac:dyDescent="0.2">
      <c r="A25" s="13" t="s">
        <v>10</v>
      </c>
      <c r="B25" s="11" t="s">
        <v>5</v>
      </c>
      <c r="C25" s="39">
        <v>1200000</v>
      </c>
      <c r="D25" s="12"/>
      <c r="E25" s="39">
        <f t="shared" si="0"/>
        <v>0</v>
      </c>
    </row>
    <row r="26" spans="1:14" ht="22.5" hidden="1" customHeight="1" x14ac:dyDescent="0.2">
      <c r="A26" s="13" t="s">
        <v>11</v>
      </c>
      <c r="B26" s="11" t="s">
        <v>5</v>
      </c>
      <c r="C26" s="39">
        <v>1350000</v>
      </c>
      <c r="D26" s="12"/>
      <c r="E26" s="39">
        <f t="shared" si="0"/>
        <v>0</v>
      </c>
    </row>
    <row r="27" spans="1:14" ht="22.5" hidden="1" customHeight="1" x14ac:dyDescent="0.2">
      <c r="A27" s="13" t="s">
        <v>12</v>
      </c>
      <c r="B27" s="11" t="s">
        <v>5</v>
      </c>
      <c r="C27" s="39">
        <v>300000</v>
      </c>
      <c r="D27" s="12"/>
      <c r="E27" s="39">
        <f t="shared" si="0"/>
        <v>0</v>
      </c>
    </row>
    <row r="28" spans="1:14" ht="22.5" hidden="1" customHeight="1" x14ac:dyDescent="0.2">
      <c r="A28" s="10" t="s">
        <v>74</v>
      </c>
      <c r="B28" s="11" t="s">
        <v>5</v>
      </c>
      <c r="C28" s="39">
        <v>1220000</v>
      </c>
      <c r="D28" s="12"/>
      <c r="E28" s="39">
        <f t="shared" si="0"/>
        <v>0</v>
      </c>
    </row>
    <row r="29" spans="1:14" ht="22.5" hidden="1" customHeight="1" x14ac:dyDescent="0.2">
      <c r="A29" s="10" t="s">
        <v>75</v>
      </c>
      <c r="B29" s="11" t="s">
        <v>5</v>
      </c>
      <c r="C29" s="39">
        <v>1620000</v>
      </c>
      <c r="D29" s="12"/>
      <c r="E29" s="39">
        <f t="shared" si="0"/>
        <v>0</v>
      </c>
    </row>
    <row r="30" spans="1:14" ht="22.5" hidden="1" customHeight="1" x14ac:dyDescent="0.2">
      <c r="A30" s="10" t="s">
        <v>82</v>
      </c>
      <c r="B30" s="11" t="s">
        <v>5</v>
      </c>
      <c r="C30" s="39">
        <v>550000</v>
      </c>
      <c r="D30" s="12"/>
      <c r="E30" s="39">
        <f t="shared" si="0"/>
        <v>0</v>
      </c>
    </row>
    <row r="31" spans="1:14" ht="22.5" customHeight="1" x14ac:dyDescent="0.3">
      <c r="A31" s="9" t="s">
        <v>13</v>
      </c>
      <c r="B31" s="7"/>
      <c r="C31" s="40"/>
      <c r="D31" s="12"/>
      <c r="E31" s="39"/>
    </row>
    <row r="32" spans="1:14" ht="22.5" hidden="1" customHeight="1" x14ac:dyDescent="0.2">
      <c r="A32" s="13" t="s">
        <v>14</v>
      </c>
      <c r="B32" s="11" t="s">
        <v>5</v>
      </c>
      <c r="C32" s="39">
        <v>610000</v>
      </c>
      <c r="D32" s="12"/>
      <c r="E32" s="39">
        <f t="shared" si="0"/>
        <v>0</v>
      </c>
    </row>
    <row r="33" spans="1:5" ht="22.5" hidden="1" customHeight="1" x14ac:dyDescent="0.2">
      <c r="A33" s="13" t="s">
        <v>15</v>
      </c>
      <c r="B33" s="11" t="s">
        <v>5</v>
      </c>
      <c r="C33" s="39">
        <v>350000</v>
      </c>
      <c r="D33" s="12"/>
      <c r="E33" s="39">
        <f t="shared" si="0"/>
        <v>0</v>
      </c>
    </row>
    <row r="34" spans="1:5" ht="22.5" hidden="1" customHeight="1" x14ac:dyDescent="0.2">
      <c r="A34" s="10" t="s">
        <v>92</v>
      </c>
      <c r="B34" s="11" t="s">
        <v>5</v>
      </c>
      <c r="C34" s="39">
        <v>600000</v>
      </c>
      <c r="D34" s="12"/>
      <c r="E34" s="39">
        <f t="shared" si="0"/>
        <v>0</v>
      </c>
    </row>
    <row r="35" spans="1:5" ht="22.5" hidden="1" customHeight="1" x14ac:dyDescent="0.2">
      <c r="A35" s="10" t="s">
        <v>83</v>
      </c>
      <c r="B35" s="11" t="s">
        <v>5</v>
      </c>
      <c r="C35" s="39">
        <v>425000</v>
      </c>
      <c r="E35" s="39"/>
    </row>
    <row r="36" spans="1:5" ht="22.5" customHeight="1" x14ac:dyDescent="0.2">
      <c r="A36" s="10" t="s">
        <v>16</v>
      </c>
      <c r="B36" s="11" t="s">
        <v>5</v>
      </c>
      <c r="C36" s="39">
        <v>260000</v>
      </c>
      <c r="D36" s="12">
        <f>ROUNDUP($D$2/2,0)</f>
        <v>6</v>
      </c>
      <c r="E36" s="39">
        <f>C36*D36</f>
        <v>1560000</v>
      </c>
    </row>
    <row r="37" spans="1:5" ht="22.5" hidden="1" customHeight="1" x14ac:dyDescent="0.2">
      <c r="A37" s="10" t="s">
        <v>17</v>
      </c>
      <c r="B37" s="11" t="s">
        <v>5</v>
      </c>
      <c r="C37" s="39">
        <v>300000</v>
      </c>
      <c r="D37" s="12"/>
      <c r="E37" s="39">
        <f t="shared" si="0"/>
        <v>0</v>
      </c>
    </row>
    <row r="38" spans="1:5" ht="22.5" hidden="1" customHeight="1" x14ac:dyDescent="0.2">
      <c r="A38" s="13" t="s">
        <v>18</v>
      </c>
      <c r="B38" s="11" t="s">
        <v>5</v>
      </c>
      <c r="C38" s="39">
        <v>316000</v>
      </c>
      <c r="D38" s="12"/>
      <c r="E38" s="39">
        <f t="shared" si="0"/>
        <v>0</v>
      </c>
    </row>
    <row r="39" spans="1:5" ht="22.5" hidden="1" customHeight="1" x14ac:dyDescent="0.2">
      <c r="A39" s="13" t="s">
        <v>19</v>
      </c>
      <c r="B39" s="11" t="s">
        <v>5</v>
      </c>
      <c r="C39" s="39">
        <v>380000</v>
      </c>
      <c r="D39" s="12"/>
      <c r="E39" s="39">
        <f t="shared" si="0"/>
        <v>0</v>
      </c>
    </row>
    <row r="40" spans="1:5" ht="22.5" hidden="1" customHeight="1" x14ac:dyDescent="0.2">
      <c r="A40" s="13" t="s">
        <v>20</v>
      </c>
      <c r="B40" s="11" t="s">
        <v>5</v>
      </c>
      <c r="C40" s="39">
        <v>440000</v>
      </c>
      <c r="D40" s="12"/>
      <c r="E40" s="39">
        <f t="shared" si="0"/>
        <v>0</v>
      </c>
    </row>
    <row r="41" spans="1:5" ht="22.5" hidden="1" customHeight="1" x14ac:dyDescent="0.2">
      <c r="A41" s="13" t="s">
        <v>21</v>
      </c>
      <c r="B41" s="11" t="s">
        <v>5</v>
      </c>
      <c r="C41" s="39">
        <v>450000</v>
      </c>
      <c r="D41" s="12"/>
      <c r="E41" s="39">
        <f t="shared" si="0"/>
        <v>0</v>
      </c>
    </row>
    <row r="42" spans="1:5" ht="22.5" hidden="1" customHeight="1" x14ac:dyDescent="0.2">
      <c r="A42" s="13" t="s">
        <v>22</v>
      </c>
      <c r="B42" s="11" t="s">
        <v>5</v>
      </c>
      <c r="C42" s="39">
        <v>350000</v>
      </c>
      <c r="D42" s="12"/>
      <c r="E42" s="39">
        <f t="shared" si="0"/>
        <v>0</v>
      </c>
    </row>
    <row r="43" spans="1:5" ht="22.5" hidden="1" customHeight="1" x14ac:dyDescent="0.2">
      <c r="A43" s="13" t="s">
        <v>23</v>
      </c>
      <c r="B43" s="11" t="s">
        <v>5</v>
      </c>
      <c r="C43" s="39">
        <v>540000</v>
      </c>
      <c r="D43" s="12"/>
      <c r="E43" s="39">
        <f t="shared" si="0"/>
        <v>0</v>
      </c>
    </row>
    <row r="44" spans="1:5" ht="22.5" hidden="1" customHeight="1" x14ac:dyDescent="0.2">
      <c r="A44" s="13" t="s">
        <v>24</v>
      </c>
      <c r="B44" s="11" t="s">
        <v>5</v>
      </c>
      <c r="C44" s="39">
        <v>490000</v>
      </c>
      <c r="D44" s="12"/>
      <c r="E44" s="39">
        <f t="shared" si="0"/>
        <v>0</v>
      </c>
    </row>
    <row r="45" spans="1:5" ht="22.5" hidden="1" customHeight="1" x14ac:dyDescent="0.2">
      <c r="A45" s="10" t="s">
        <v>76</v>
      </c>
      <c r="B45" s="11" t="s">
        <v>5</v>
      </c>
      <c r="C45" s="39">
        <v>440000</v>
      </c>
      <c r="D45" s="12"/>
      <c r="E45" s="39">
        <f t="shared" si="0"/>
        <v>0</v>
      </c>
    </row>
    <row r="46" spans="1:5" ht="22.5" hidden="1" customHeight="1" x14ac:dyDescent="0.2">
      <c r="A46" s="10" t="s">
        <v>77</v>
      </c>
      <c r="B46" s="11" t="s">
        <v>5</v>
      </c>
      <c r="C46" s="39">
        <v>390000</v>
      </c>
      <c r="D46" s="12"/>
      <c r="E46" s="39">
        <f t="shared" si="0"/>
        <v>0</v>
      </c>
    </row>
    <row r="47" spans="1:5" ht="22.5" customHeight="1" x14ac:dyDescent="0.3">
      <c r="A47" s="9" t="s">
        <v>25</v>
      </c>
      <c r="B47" s="7"/>
      <c r="C47" s="40"/>
      <c r="D47" s="12"/>
      <c r="E47" s="39"/>
    </row>
    <row r="48" spans="1:5" ht="22.5" customHeight="1" x14ac:dyDescent="0.2">
      <c r="A48" s="13" t="s">
        <v>26</v>
      </c>
      <c r="B48" s="11" t="s">
        <v>5</v>
      </c>
      <c r="C48" s="39">
        <v>585000</v>
      </c>
      <c r="D48" s="12">
        <f>ROUNDUP($D$2/2,0)</f>
        <v>6</v>
      </c>
      <c r="E48" s="39">
        <f t="shared" si="0"/>
        <v>3510000</v>
      </c>
    </row>
    <row r="49" spans="1:5" ht="22.5" hidden="1" customHeight="1" x14ac:dyDescent="0.2">
      <c r="A49" s="10" t="s">
        <v>98</v>
      </c>
      <c r="B49" s="11" t="s">
        <v>5</v>
      </c>
      <c r="C49" s="39">
        <v>680000</v>
      </c>
      <c r="D49" s="12"/>
      <c r="E49" s="39">
        <f t="shared" si="0"/>
        <v>0</v>
      </c>
    </row>
    <row r="50" spans="1:5" ht="22.5" customHeight="1" x14ac:dyDescent="0.3">
      <c r="A50" s="6" t="s">
        <v>27</v>
      </c>
      <c r="B50" s="7"/>
      <c r="C50" s="40"/>
      <c r="D50" s="12"/>
      <c r="E50" s="39"/>
    </row>
    <row r="51" spans="1:5" ht="22.5" customHeight="1" x14ac:dyDescent="0.3">
      <c r="A51" s="9" t="s">
        <v>28</v>
      </c>
      <c r="B51" s="7"/>
      <c r="C51" s="40"/>
      <c r="D51" s="12"/>
      <c r="E51" s="39"/>
    </row>
    <row r="52" spans="1:5" ht="22.5" customHeight="1" x14ac:dyDescent="0.2">
      <c r="A52" s="10" t="s">
        <v>87</v>
      </c>
      <c r="B52" s="11" t="s">
        <v>29</v>
      </c>
      <c r="C52" s="39">
        <v>75000</v>
      </c>
      <c r="D52" s="12">
        <f>D2</f>
        <v>12</v>
      </c>
      <c r="E52" s="39">
        <f>C52*D52</f>
        <v>900000</v>
      </c>
    </row>
    <row r="53" spans="1:5" ht="22.5" hidden="1" customHeight="1" x14ac:dyDescent="0.2">
      <c r="A53" s="13" t="s">
        <v>30</v>
      </c>
      <c r="B53" s="11" t="s">
        <v>29</v>
      </c>
      <c r="C53" s="39">
        <v>55000</v>
      </c>
      <c r="D53" s="12"/>
      <c r="E53" s="39">
        <f t="shared" si="0"/>
        <v>0</v>
      </c>
    </row>
    <row r="54" spans="1:5" ht="22.5" customHeight="1" x14ac:dyDescent="0.2">
      <c r="A54" s="10" t="s">
        <v>31</v>
      </c>
      <c r="B54" s="11" t="s">
        <v>29</v>
      </c>
      <c r="C54" s="39">
        <v>25000</v>
      </c>
      <c r="D54" s="12">
        <f>D2</f>
        <v>12</v>
      </c>
      <c r="E54" s="39">
        <f t="shared" si="0"/>
        <v>300000</v>
      </c>
    </row>
    <row r="55" spans="1:5" ht="22.5" customHeight="1" x14ac:dyDescent="0.2">
      <c r="A55" s="10" t="s">
        <v>109</v>
      </c>
      <c r="B55" s="11" t="s">
        <v>5</v>
      </c>
      <c r="C55" s="39">
        <v>250000</v>
      </c>
      <c r="D55" s="12">
        <v>1</v>
      </c>
      <c r="E55" s="39">
        <f t="shared" si="0"/>
        <v>250000</v>
      </c>
    </row>
    <row r="56" spans="1:5" ht="22.5" customHeight="1" x14ac:dyDescent="0.2">
      <c r="A56" s="13" t="s">
        <v>32</v>
      </c>
      <c r="B56" s="11" t="s">
        <v>29</v>
      </c>
      <c r="C56" s="39">
        <v>75000</v>
      </c>
      <c r="D56" s="12">
        <f>D2</f>
        <v>12</v>
      </c>
      <c r="E56" s="39">
        <f t="shared" si="0"/>
        <v>900000</v>
      </c>
    </row>
    <row r="57" spans="1:5" ht="22.5" customHeight="1" x14ac:dyDescent="0.2">
      <c r="A57" s="13" t="s">
        <v>33</v>
      </c>
      <c r="B57" s="11" t="s">
        <v>29</v>
      </c>
      <c r="C57" s="39">
        <v>75000</v>
      </c>
      <c r="D57" s="12">
        <f>D2</f>
        <v>12</v>
      </c>
      <c r="E57" s="39">
        <f t="shared" si="0"/>
        <v>900000</v>
      </c>
    </row>
    <row r="58" spans="1:5" ht="22.5" hidden="1" customHeight="1" x14ac:dyDescent="0.2">
      <c r="A58" s="10" t="s">
        <v>84</v>
      </c>
      <c r="B58" s="11" t="s">
        <v>29</v>
      </c>
      <c r="C58" s="39">
        <v>60000</v>
      </c>
      <c r="D58" s="12"/>
      <c r="E58" s="39">
        <f t="shared" si="0"/>
        <v>0</v>
      </c>
    </row>
    <row r="59" spans="1:5" ht="22.5" hidden="1" customHeight="1" x14ac:dyDescent="0.2">
      <c r="A59" s="10" t="s">
        <v>85</v>
      </c>
      <c r="B59" s="11" t="s">
        <v>29</v>
      </c>
      <c r="C59" s="39">
        <v>60000</v>
      </c>
      <c r="D59" s="12"/>
      <c r="E59" s="39">
        <f t="shared" si="0"/>
        <v>0</v>
      </c>
    </row>
    <row r="60" spans="1:5" ht="22.5" hidden="1" customHeight="1" x14ac:dyDescent="0.2">
      <c r="A60" s="13" t="s">
        <v>34</v>
      </c>
      <c r="B60" s="11" t="s">
        <v>5</v>
      </c>
      <c r="C60" s="39">
        <v>35000</v>
      </c>
      <c r="D60" s="12"/>
      <c r="E60" s="39">
        <f t="shared" si="0"/>
        <v>0</v>
      </c>
    </row>
    <row r="61" spans="1:5" ht="22.5" customHeight="1" x14ac:dyDescent="0.3">
      <c r="A61" s="9" t="s">
        <v>35</v>
      </c>
      <c r="B61" s="7"/>
      <c r="C61" s="41"/>
      <c r="D61" s="12"/>
      <c r="E61" s="39"/>
    </row>
    <row r="62" spans="1:5" ht="22.5" customHeight="1" x14ac:dyDescent="0.2">
      <c r="A62" s="10" t="s">
        <v>86</v>
      </c>
      <c r="B62" s="11" t="s">
        <v>29</v>
      </c>
      <c r="C62" s="39">
        <v>150000</v>
      </c>
      <c r="D62" s="12">
        <f>D2</f>
        <v>12</v>
      </c>
      <c r="E62" s="39">
        <f t="shared" si="0"/>
        <v>1800000</v>
      </c>
    </row>
    <row r="63" spans="1:5" ht="22.5" customHeight="1" x14ac:dyDescent="0.2">
      <c r="A63" s="13" t="s">
        <v>36</v>
      </c>
      <c r="B63" s="11" t="s">
        <v>29</v>
      </c>
      <c r="C63" s="39">
        <v>500000</v>
      </c>
      <c r="D63" s="12">
        <f>ROUNDUP(D2/4,0)</f>
        <v>3</v>
      </c>
      <c r="E63" s="39">
        <f t="shared" si="0"/>
        <v>1500000</v>
      </c>
    </row>
    <row r="64" spans="1:5" ht="22.5" hidden="1" customHeight="1" x14ac:dyDescent="0.3">
      <c r="A64" s="15" t="s">
        <v>37</v>
      </c>
      <c r="B64" s="7"/>
      <c r="C64" s="41"/>
      <c r="D64" s="12"/>
      <c r="E64" s="39"/>
    </row>
    <row r="65" spans="1:5" ht="22.5" hidden="1" customHeight="1" x14ac:dyDescent="0.2">
      <c r="A65" s="13" t="s">
        <v>38</v>
      </c>
      <c r="B65" s="11" t="s">
        <v>29</v>
      </c>
      <c r="C65" s="39">
        <v>90000</v>
      </c>
      <c r="D65" s="12"/>
      <c r="E65" s="39">
        <f t="shared" si="0"/>
        <v>0</v>
      </c>
    </row>
    <row r="66" spans="1:5" ht="22.5" hidden="1" customHeight="1" x14ac:dyDescent="0.2">
      <c r="A66" s="10" t="s">
        <v>107</v>
      </c>
      <c r="B66" s="11" t="s">
        <v>5</v>
      </c>
      <c r="C66" s="39">
        <v>100000</v>
      </c>
      <c r="D66" s="12"/>
      <c r="E66" s="39">
        <f t="shared" si="0"/>
        <v>0</v>
      </c>
    </row>
    <row r="67" spans="1:5" ht="22.5" customHeight="1" x14ac:dyDescent="0.3">
      <c r="A67" s="9" t="s">
        <v>39</v>
      </c>
      <c r="B67" s="7"/>
      <c r="C67" s="41"/>
      <c r="D67" s="12"/>
      <c r="E67" s="39"/>
    </row>
    <row r="68" spans="1:5" ht="22.5" customHeight="1" x14ac:dyDescent="0.2">
      <c r="A68" s="13" t="s">
        <v>40</v>
      </c>
      <c r="B68" s="11" t="s">
        <v>29</v>
      </c>
      <c r="C68" s="39">
        <v>120000</v>
      </c>
      <c r="D68" s="12">
        <f>$D$2</f>
        <v>12</v>
      </c>
      <c r="E68" s="39">
        <f t="shared" si="0"/>
        <v>1440000</v>
      </c>
    </row>
    <row r="69" spans="1:5" ht="22.5" customHeight="1" x14ac:dyDescent="0.2">
      <c r="A69" s="10" t="s">
        <v>108</v>
      </c>
      <c r="B69" s="11" t="s">
        <v>5</v>
      </c>
      <c r="C69" s="39">
        <v>200000</v>
      </c>
      <c r="D69" s="12">
        <v>1</v>
      </c>
      <c r="E69" s="39">
        <f t="shared" si="0"/>
        <v>200000</v>
      </c>
    </row>
    <row r="70" spans="1:5" ht="22.5" hidden="1" customHeight="1" x14ac:dyDescent="0.2">
      <c r="A70" s="13" t="s">
        <v>72</v>
      </c>
      <c r="B70" s="11" t="s">
        <v>5</v>
      </c>
      <c r="C70" s="39">
        <v>10000</v>
      </c>
      <c r="D70" s="12"/>
      <c r="E70" s="39">
        <f t="shared" si="0"/>
        <v>0</v>
      </c>
    </row>
    <row r="71" spans="1:5" ht="22.5" hidden="1" customHeight="1" x14ac:dyDescent="0.2">
      <c r="A71" s="13" t="s">
        <v>73</v>
      </c>
      <c r="B71" s="11" t="s">
        <v>41</v>
      </c>
      <c r="C71" s="39">
        <v>10000</v>
      </c>
      <c r="D71" s="12"/>
      <c r="E71" s="39">
        <f t="shared" si="0"/>
        <v>0</v>
      </c>
    </row>
    <row r="72" spans="1:5" ht="22.5" hidden="1" customHeight="1" x14ac:dyDescent="0.2">
      <c r="A72" s="13" t="s">
        <v>42</v>
      </c>
      <c r="B72" s="11" t="s">
        <v>29</v>
      </c>
      <c r="C72" s="39">
        <v>50000</v>
      </c>
      <c r="D72" s="12"/>
      <c r="E72" s="39">
        <f t="shared" si="0"/>
        <v>0</v>
      </c>
    </row>
    <row r="73" spans="1:5" ht="22.5" customHeight="1" x14ac:dyDescent="0.2">
      <c r="A73" s="13" t="s">
        <v>43</v>
      </c>
      <c r="B73" s="11" t="s">
        <v>29</v>
      </c>
      <c r="C73" s="39">
        <v>50000</v>
      </c>
      <c r="D73" s="12">
        <f>$D$2</f>
        <v>12</v>
      </c>
      <c r="E73" s="39">
        <f t="shared" si="0"/>
        <v>600000</v>
      </c>
    </row>
    <row r="74" spans="1:5" ht="22.5" customHeight="1" x14ac:dyDescent="0.2">
      <c r="A74" s="13" t="s">
        <v>44</v>
      </c>
      <c r="B74" s="11" t="s">
        <v>29</v>
      </c>
      <c r="C74" s="39">
        <v>40000</v>
      </c>
      <c r="D74" s="12">
        <f>$D$2</f>
        <v>12</v>
      </c>
      <c r="E74" s="39">
        <f t="shared" ref="E74:E105" si="1">C74*D74</f>
        <v>480000</v>
      </c>
    </row>
    <row r="75" spans="1:5" ht="22.5" hidden="1" customHeight="1" x14ac:dyDescent="0.3">
      <c r="A75" s="9" t="s">
        <v>45</v>
      </c>
      <c r="B75" s="7"/>
      <c r="C75" s="41"/>
      <c r="D75" s="12"/>
      <c r="E75" s="39">
        <f t="shared" si="1"/>
        <v>0</v>
      </c>
    </row>
    <row r="76" spans="1:5" ht="22.5" hidden="1" customHeight="1" x14ac:dyDescent="0.2">
      <c r="A76" s="13" t="s">
        <v>46</v>
      </c>
      <c r="B76" s="11" t="s">
        <v>29</v>
      </c>
      <c r="C76" s="39">
        <v>150000</v>
      </c>
      <c r="D76" s="12"/>
      <c r="E76" s="39">
        <f t="shared" si="1"/>
        <v>0</v>
      </c>
    </row>
    <row r="77" spans="1:5" ht="22.5" hidden="1" customHeight="1" x14ac:dyDescent="0.2">
      <c r="A77" s="10" t="s">
        <v>99</v>
      </c>
      <c r="B77" s="11" t="s">
        <v>29</v>
      </c>
      <c r="C77" s="39">
        <v>35000</v>
      </c>
      <c r="D77" s="12"/>
      <c r="E77" s="39">
        <f t="shared" si="1"/>
        <v>0</v>
      </c>
    </row>
    <row r="78" spans="1:5" ht="22.5" customHeight="1" x14ac:dyDescent="0.3">
      <c r="A78" s="16" t="s">
        <v>47</v>
      </c>
      <c r="B78" s="7"/>
      <c r="C78" s="40"/>
      <c r="D78" s="12"/>
      <c r="E78" s="39"/>
    </row>
    <row r="79" spans="1:5" ht="22.5" customHeight="1" x14ac:dyDescent="0.3">
      <c r="A79" s="9" t="s">
        <v>48</v>
      </c>
      <c r="B79" s="7"/>
      <c r="C79" s="40"/>
      <c r="D79" s="12"/>
      <c r="E79" s="39"/>
    </row>
    <row r="80" spans="1:5" ht="22.5" customHeight="1" x14ac:dyDescent="0.2">
      <c r="A80" s="13" t="s">
        <v>49</v>
      </c>
      <c r="B80" s="11" t="s">
        <v>50</v>
      </c>
      <c r="C80" s="39">
        <v>480000</v>
      </c>
      <c r="D80" s="12">
        <f>IF($D$2=1,4, IF($D$2=2,4,0))</f>
        <v>0</v>
      </c>
      <c r="E80" s="39">
        <f t="shared" si="1"/>
        <v>0</v>
      </c>
    </row>
    <row r="81" spans="1:5" ht="22.5" customHeight="1" x14ac:dyDescent="0.2">
      <c r="A81" s="13" t="s">
        <v>51</v>
      </c>
      <c r="B81" s="11" t="s">
        <v>50</v>
      </c>
      <c r="C81" s="39">
        <v>550000</v>
      </c>
      <c r="D81" s="12">
        <f>IF($D$2=3,4, 0)</f>
        <v>0</v>
      </c>
      <c r="E81" s="39">
        <f t="shared" si="1"/>
        <v>0</v>
      </c>
    </row>
    <row r="82" spans="1:5" ht="22.5" customHeight="1" x14ac:dyDescent="0.2">
      <c r="A82" s="10" t="s">
        <v>52</v>
      </c>
      <c r="B82" s="11" t="s">
        <v>50</v>
      </c>
      <c r="C82" s="39">
        <v>1100000</v>
      </c>
      <c r="D82" s="12">
        <v>8</v>
      </c>
      <c r="E82" s="39">
        <f t="shared" si="1"/>
        <v>8800000</v>
      </c>
    </row>
    <row r="83" spans="1:5" ht="22.5" customHeight="1" x14ac:dyDescent="0.2">
      <c r="A83" s="13" t="s">
        <v>53</v>
      </c>
      <c r="B83" s="11" t="s">
        <v>50</v>
      </c>
      <c r="C83" s="39">
        <v>1300000</v>
      </c>
      <c r="D83" s="12"/>
      <c r="E83" s="39">
        <f t="shared" si="1"/>
        <v>0</v>
      </c>
    </row>
    <row r="84" spans="1:5" ht="22.5" customHeight="1" x14ac:dyDescent="0.2">
      <c r="A84" s="10" t="s">
        <v>124</v>
      </c>
      <c r="B84" s="11" t="s">
        <v>50</v>
      </c>
      <c r="C84" s="39">
        <v>2720000</v>
      </c>
      <c r="D84" s="12">
        <f>IF((($D$2&gt;=10)*($D$2&lt;=11))=1,1,0)</f>
        <v>0</v>
      </c>
      <c r="E84" s="39">
        <f t="shared" si="1"/>
        <v>0</v>
      </c>
    </row>
    <row r="85" spans="1:5" ht="22.5" customHeight="1" x14ac:dyDescent="0.3">
      <c r="A85" s="9" t="s">
        <v>54</v>
      </c>
      <c r="B85" s="7"/>
      <c r="C85" s="40"/>
      <c r="D85" s="12"/>
      <c r="E85" s="39"/>
    </row>
    <row r="86" spans="1:5" ht="22.5" customHeight="1" x14ac:dyDescent="0.2">
      <c r="A86" s="13" t="s">
        <v>55</v>
      </c>
      <c r="B86" s="11" t="s">
        <v>5</v>
      </c>
      <c r="C86" s="39">
        <v>200000</v>
      </c>
      <c r="D86" s="12">
        <v>2</v>
      </c>
      <c r="E86" s="39">
        <f t="shared" si="1"/>
        <v>400000</v>
      </c>
    </row>
    <row r="87" spans="1:5" ht="22.5" hidden="1" customHeight="1" x14ac:dyDescent="0.2">
      <c r="A87" s="10" t="s">
        <v>100</v>
      </c>
      <c r="B87" s="11" t="s">
        <v>5</v>
      </c>
      <c r="C87" s="39">
        <v>300000</v>
      </c>
      <c r="D87" s="12"/>
      <c r="E87" s="39">
        <f t="shared" si="1"/>
        <v>0</v>
      </c>
    </row>
    <row r="88" spans="1:5" ht="22.5" customHeight="1" x14ac:dyDescent="0.3">
      <c r="A88" s="9" t="s">
        <v>56</v>
      </c>
      <c r="B88" s="7"/>
      <c r="C88" s="40"/>
      <c r="D88" s="12"/>
      <c r="E88" s="39">
        <f t="shared" si="1"/>
        <v>0</v>
      </c>
    </row>
    <row r="89" spans="1:5" ht="22.5" customHeight="1" x14ac:dyDescent="0.2">
      <c r="A89" s="13" t="s">
        <v>57</v>
      </c>
      <c r="B89" s="11" t="s">
        <v>58</v>
      </c>
      <c r="C89" s="39">
        <v>200000</v>
      </c>
      <c r="D89" s="12">
        <f>ROUNDUP(D2/3,0)</f>
        <v>4</v>
      </c>
      <c r="E89" s="39">
        <f t="shared" si="1"/>
        <v>800000</v>
      </c>
    </row>
    <row r="90" spans="1:5" ht="22.5" hidden="1" customHeight="1" x14ac:dyDescent="0.3">
      <c r="A90" s="15" t="s">
        <v>105</v>
      </c>
      <c r="B90" s="7"/>
      <c r="C90" s="40"/>
      <c r="D90" s="12"/>
      <c r="E90" s="39">
        <f t="shared" si="1"/>
        <v>0</v>
      </c>
    </row>
    <row r="91" spans="1:5" ht="22.5" hidden="1" customHeight="1" x14ac:dyDescent="0.2">
      <c r="A91" s="10" t="s">
        <v>106</v>
      </c>
      <c r="B91" s="11" t="s">
        <v>58</v>
      </c>
      <c r="C91" s="39">
        <v>650000</v>
      </c>
      <c r="D91" s="12"/>
      <c r="E91" s="39">
        <f t="shared" si="1"/>
        <v>0</v>
      </c>
    </row>
    <row r="92" spans="1:5" ht="22.5" customHeight="1" x14ac:dyDescent="0.3">
      <c r="A92" s="16" t="s">
        <v>59</v>
      </c>
      <c r="B92" s="7"/>
      <c r="C92" s="40"/>
      <c r="D92" s="12"/>
      <c r="E92" s="39"/>
    </row>
    <row r="93" spans="1:5" ht="22.5" customHeight="1" x14ac:dyDescent="0.3">
      <c r="A93" s="9" t="s">
        <v>60</v>
      </c>
      <c r="B93" s="7"/>
      <c r="C93" s="40"/>
      <c r="D93" s="12"/>
      <c r="E93" s="39"/>
    </row>
    <row r="94" spans="1:5" ht="22.5" customHeight="1" x14ac:dyDescent="0.2">
      <c r="A94" s="13" t="s">
        <v>61</v>
      </c>
      <c r="B94" s="11" t="s">
        <v>50</v>
      </c>
      <c r="C94" s="39">
        <v>250000</v>
      </c>
      <c r="D94" s="12"/>
      <c r="E94" s="39">
        <f t="shared" si="1"/>
        <v>0</v>
      </c>
    </row>
    <row r="95" spans="1:5" ht="22.5" customHeight="1" x14ac:dyDescent="0.2">
      <c r="A95" s="10" t="s">
        <v>101</v>
      </c>
      <c r="B95" s="11" t="s">
        <v>50</v>
      </c>
      <c r="C95" s="39">
        <v>250000</v>
      </c>
      <c r="D95" s="12">
        <v>8</v>
      </c>
      <c r="E95" s="39">
        <f t="shared" si="1"/>
        <v>2000000</v>
      </c>
    </row>
    <row r="96" spans="1:5" ht="22.5" customHeight="1" x14ac:dyDescent="0.2">
      <c r="A96" s="10" t="s">
        <v>102</v>
      </c>
      <c r="B96" s="11" t="s">
        <v>50</v>
      </c>
      <c r="C96" s="39">
        <v>200000</v>
      </c>
      <c r="D96" s="12"/>
      <c r="E96" s="39">
        <f t="shared" si="1"/>
        <v>0</v>
      </c>
    </row>
    <row r="97" spans="1:5" ht="22.5" customHeight="1" x14ac:dyDescent="0.3">
      <c r="A97" s="16" t="s">
        <v>62</v>
      </c>
      <c r="B97" s="7"/>
      <c r="C97" s="40"/>
      <c r="D97" s="12"/>
      <c r="E97" s="39"/>
    </row>
    <row r="98" spans="1:5" ht="22.5" customHeight="1" x14ac:dyDescent="0.3">
      <c r="A98" s="9" t="s">
        <v>63</v>
      </c>
      <c r="B98" s="7"/>
      <c r="C98" s="40"/>
      <c r="D98" s="12"/>
      <c r="E98" s="39"/>
    </row>
    <row r="99" spans="1:5" ht="22.5" customHeight="1" x14ac:dyDescent="0.2">
      <c r="A99" s="13" t="s">
        <v>64</v>
      </c>
      <c r="B99" s="11" t="s">
        <v>116</v>
      </c>
      <c r="C99" s="39">
        <v>50000</v>
      </c>
      <c r="D99" s="12">
        <f>ROUNDUP(D2*C2*4/24,0)</f>
        <v>10</v>
      </c>
      <c r="E99" s="39">
        <f t="shared" si="1"/>
        <v>500000</v>
      </c>
    </row>
    <row r="100" spans="1:5" ht="22.5" customHeight="1" x14ac:dyDescent="0.2">
      <c r="A100" s="13" t="s">
        <v>66</v>
      </c>
      <c r="B100" s="11" t="s">
        <v>65</v>
      </c>
      <c r="C100" s="39">
        <v>100000</v>
      </c>
      <c r="D100" s="12">
        <v>2</v>
      </c>
      <c r="E100" s="39">
        <f t="shared" si="1"/>
        <v>200000</v>
      </c>
    </row>
    <row r="101" spans="1:5" ht="22.5" customHeight="1" x14ac:dyDescent="0.2">
      <c r="A101" s="13" t="s">
        <v>67</v>
      </c>
      <c r="B101" s="11" t="s">
        <v>29</v>
      </c>
      <c r="C101" s="39">
        <v>60000</v>
      </c>
      <c r="D101" s="12">
        <f>D2</f>
        <v>12</v>
      </c>
      <c r="E101" s="39">
        <f t="shared" si="1"/>
        <v>720000</v>
      </c>
    </row>
    <row r="102" spans="1:5" ht="22.5" hidden="1" customHeight="1" x14ac:dyDescent="0.3">
      <c r="A102" s="9" t="s">
        <v>68</v>
      </c>
      <c r="B102" s="7"/>
      <c r="C102" s="14"/>
      <c r="D102" s="12"/>
      <c r="E102" s="39">
        <f t="shared" si="1"/>
        <v>0</v>
      </c>
    </row>
    <row r="103" spans="1:5" ht="22.5" hidden="1" customHeight="1" x14ac:dyDescent="0.2">
      <c r="A103" s="13" t="s">
        <v>69</v>
      </c>
      <c r="B103" s="11" t="s">
        <v>58</v>
      </c>
      <c r="C103" s="12">
        <v>2000000</v>
      </c>
      <c r="D103" s="12"/>
      <c r="E103" s="39">
        <f t="shared" si="1"/>
        <v>0</v>
      </c>
    </row>
    <row r="104" spans="1:5" ht="22.5" hidden="1" customHeight="1" x14ac:dyDescent="0.3">
      <c r="A104" s="9" t="s">
        <v>70</v>
      </c>
      <c r="B104" s="7"/>
      <c r="C104" s="14"/>
      <c r="D104" s="12"/>
      <c r="E104" s="39">
        <f t="shared" si="1"/>
        <v>0</v>
      </c>
    </row>
    <row r="105" spans="1:5" ht="22.5" hidden="1" customHeight="1" x14ac:dyDescent="0.2">
      <c r="A105" s="13" t="s">
        <v>71</v>
      </c>
      <c r="B105" s="11" t="s">
        <v>29</v>
      </c>
      <c r="C105" s="12">
        <v>16000</v>
      </c>
      <c r="D105" s="12"/>
      <c r="E105" s="39">
        <f t="shared" si="1"/>
        <v>0</v>
      </c>
    </row>
    <row r="106" spans="1:5" ht="22.5" hidden="1" customHeight="1" x14ac:dyDescent="0.2">
      <c r="A106" s="10" t="s">
        <v>88</v>
      </c>
      <c r="B106" s="11" t="s">
        <v>5</v>
      </c>
      <c r="C106" s="12">
        <v>100000</v>
      </c>
      <c r="D106" s="12"/>
      <c r="E106" s="39">
        <f>C106*D106</f>
        <v>0</v>
      </c>
    </row>
    <row r="107" spans="1:5" s="1" customFormat="1" ht="30" customHeight="1" x14ac:dyDescent="0.2">
      <c r="A107" s="18" t="s">
        <v>117</v>
      </c>
      <c r="B107" s="17"/>
      <c r="C107" s="5"/>
      <c r="D107" s="12"/>
      <c r="E107" s="42">
        <f>SUM(E7:E106)</f>
        <v>34870000</v>
      </c>
    </row>
    <row r="108" spans="1:5" ht="36" customHeight="1" x14ac:dyDescent="0.2">
      <c r="A108" s="18" t="s">
        <v>121</v>
      </c>
      <c r="B108" s="8"/>
      <c r="C108" s="8"/>
      <c r="D108" s="8"/>
      <c r="E108" s="42">
        <f>E107/D2</f>
        <v>2905833.3333333335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1D71B-6BBD-4361-BE50-F88718344E0A}">
  <sheetPr>
    <pageSetUpPr fitToPage="1"/>
  </sheetPr>
  <dimension ref="A1:K46"/>
  <sheetViews>
    <sheetView zoomScale="85" zoomScaleNormal="85" workbookViewId="0">
      <selection activeCell="A2" sqref="A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2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f>ROUNDUP($D$2/2,0)</f>
        <v>1</v>
      </c>
      <c r="E6" s="39">
        <f t="shared" ref="E6:E19" si="0">C6*D6</f>
        <v>750000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/>
      <c r="E7" s="39">
        <f t="shared" si="0"/>
        <v>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f>ROUNDUP($D$2/2,0)</f>
        <v>1</v>
      </c>
      <c r="E10" s="39">
        <f>C10*D10</f>
        <v>1700000</v>
      </c>
    </row>
    <row r="11" spans="1:11" ht="22.5" customHeight="1" x14ac:dyDescent="0.3">
      <c r="A11" s="6" t="s">
        <v>27</v>
      </c>
      <c r="B11" s="7"/>
      <c r="C11" s="40"/>
      <c r="D11" s="12"/>
      <c r="E11" s="39"/>
    </row>
    <row r="12" spans="1:11" ht="22.5" customHeight="1" x14ac:dyDescent="0.3">
      <c r="A12" s="9" t="s">
        <v>35</v>
      </c>
      <c r="B12" s="7"/>
      <c r="C12" s="41"/>
      <c r="D12" s="12"/>
      <c r="E12" s="39"/>
    </row>
    <row r="13" spans="1:11" ht="22.5" customHeight="1" x14ac:dyDescent="0.2">
      <c r="A13" s="10" t="s">
        <v>86</v>
      </c>
      <c r="B13" s="11" t="s">
        <v>29</v>
      </c>
      <c r="C13" s="39">
        <v>160000</v>
      </c>
      <c r="D13" s="12">
        <f>D2</f>
        <v>2</v>
      </c>
      <c r="E13" s="39">
        <f t="shared" si="0"/>
        <v>320000</v>
      </c>
    </row>
    <row r="14" spans="1:11" ht="22.5" customHeight="1" x14ac:dyDescent="0.2">
      <c r="A14" s="13" t="s">
        <v>36</v>
      </c>
      <c r="B14" s="11" t="s">
        <v>29</v>
      </c>
      <c r="C14" s="39">
        <v>500000</v>
      </c>
      <c r="D14" s="12">
        <f>ROUNDUP(D2/4,0)</f>
        <v>1</v>
      </c>
      <c r="E14" s="39">
        <f t="shared" si="0"/>
        <v>500000</v>
      </c>
    </row>
    <row r="15" spans="1:11" ht="22.5" customHeight="1" x14ac:dyDescent="0.3">
      <c r="A15" s="15" t="s">
        <v>37</v>
      </c>
      <c r="B15" s="7"/>
      <c r="C15" s="41"/>
      <c r="D15" s="12"/>
      <c r="E15" s="39"/>
    </row>
    <row r="16" spans="1:11" ht="22.5" customHeight="1" x14ac:dyDescent="0.2">
      <c r="A16" s="13" t="s">
        <v>38</v>
      </c>
      <c r="B16" s="11" t="s">
        <v>29</v>
      </c>
      <c r="C16" s="39">
        <v>90000</v>
      </c>
      <c r="D16" s="12">
        <f>D2</f>
        <v>2</v>
      </c>
      <c r="E16" s="39">
        <f t="shared" si="0"/>
        <v>180000</v>
      </c>
    </row>
    <row r="17" spans="1:5" ht="22.5" customHeight="1" x14ac:dyDescent="0.2">
      <c r="A17" s="10" t="s">
        <v>107</v>
      </c>
      <c r="B17" s="11" t="s">
        <v>5</v>
      </c>
      <c r="C17" s="39">
        <v>100000</v>
      </c>
      <c r="D17" s="12">
        <v>1</v>
      </c>
      <c r="E17" s="39">
        <f t="shared" si="0"/>
        <v>100000</v>
      </c>
    </row>
    <row r="18" spans="1:5" ht="22.5" customHeight="1" x14ac:dyDescent="0.3">
      <c r="A18" s="15" t="s">
        <v>128</v>
      </c>
      <c r="B18" s="7"/>
      <c r="C18" s="41"/>
      <c r="D18" s="12"/>
      <c r="E18" s="39"/>
    </row>
    <row r="19" spans="1:5" ht="22.5" customHeight="1" x14ac:dyDescent="0.2">
      <c r="A19" s="45" t="s">
        <v>133</v>
      </c>
      <c r="B19" s="46" t="s">
        <v>118</v>
      </c>
      <c r="C19" s="47">
        <v>650000</v>
      </c>
      <c r="D19" s="48"/>
      <c r="E19" s="47">
        <f t="shared" si="0"/>
        <v>0</v>
      </c>
    </row>
    <row r="20" spans="1:5" ht="22.5" customHeight="1" x14ac:dyDescent="0.2">
      <c r="A20" s="10" t="s">
        <v>129</v>
      </c>
      <c r="B20" s="11" t="s">
        <v>5</v>
      </c>
      <c r="C20" s="39">
        <v>150000</v>
      </c>
      <c r="D20" s="12">
        <f>$D$2</f>
        <v>2</v>
      </c>
      <c r="E20" s="39">
        <f>C20*D20</f>
        <v>300000</v>
      </c>
    </row>
    <row r="21" spans="1:5" ht="22.5" customHeight="1" x14ac:dyDescent="0.2">
      <c r="A21" s="10" t="s">
        <v>130</v>
      </c>
      <c r="B21" s="11" t="s">
        <v>29</v>
      </c>
      <c r="C21" s="39">
        <v>200000</v>
      </c>
      <c r="D21" s="12">
        <v>1</v>
      </c>
      <c r="E21" s="39">
        <f>C21*D21</f>
        <v>200000</v>
      </c>
    </row>
    <row r="22" spans="1:5" ht="22.5" customHeight="1" x14ac:dyDescent="0.2">
      <c r="A22" s="13" t="s">
        <v>131</v>
      </c>
      <c r="B22" s="11" t="s">
        <v>41</v>
      </c>
      <c r="C22" s="39">
        <v>10000</v>
      </c>
      <c r="D22" s="12">
        <v>1</v>
      </c>
      <c r="E22" s="39">
        <f>C22*D22</f>
        <v>10000</v>
      </c>
    </row>
    <row r="23" spans="1:5" ht="22.5" customHeight="1" x14ac:dyDescent="0.3">
      <c r="A23" s="16" t="s">
        <v>47</v>
      </c>
      <c r="B23" s="7"/>
      <c r="C23" s="40"/>
      <c r="D23" s="12"/>
      <c r="E23" s="39"/>
    </row>
    <row r="24" spans="1:5" ht="22.5" customHeight="1" x14ac:dyDescent="0.3">
      <c r="A24" s="9" t="s">
        <v>48</v>
      </c>
      <c r="B24" s="7"/>
      <c r="C24" s="40"/>
      <c r="D24" s="12"/>
      <c r="E24" s="39"/>
    </row>
    <row r="25" spans="1:5" ht="22.5" customHeight="1" x14ac:dyDescent="0.2">
      <c r="A25" s="13" t="s">
        <v>49</v>
      </c>
      <c r="B25" s="11" t="s">
        <v>50</v>
      </c>
      <c r="C25" s="39">
        <v>450000</v>
      </c>
      <c r="D25" s="12">
        <f>IF($D$2=1,3, IF($D$2=2,3,0))</f>
        <v>3</v>
      </c>
      <c r="E25" s="39">
        <f>C25*D25</f>
        <v>1350000</v>
      </c>
    </row>
    <row r="26" spans="1:5" ht="22.5" customHeight="1" x14ac:dyDescent="0.2">
      <c r="A26" s="13" t="s">
        <v>51</v>
      </c>
      <c r="B26" s="11" t="s">
        <v>50</v>
      </c>
      <c r="C26" s="39">
        <v>550000</v>
      </c>
      <c r="D26" s="12">
        <f>IF($D$2=3,4, 0)</f>
        <v>0</v>
      </c>
      <c r="E26" s="39">
        <f>C26*D26</f>
        <v>0</v>
      </c>
    </row>
    <row r="27" spans="1:5" ht="22.5" customHeight="1" x14ac:dyDescent="0.2">
      <c r="A27" s="10" t="s">
        <v>52</v>
      </c>
      <c r="B27" s="11" t="s">
        <v>50</v>
      </c>
      <c r="C27" s="39">
        <v>1100000</v>
      </c>
      <c r="D27" s="12">
        <f>IF((($D$2&gt;=4)*($D$2&lt;=11))=1,4,0)</f>
        <v>0</v>
      </c>
      <c r="E27" s="39">
        <f>C27*D27</f>
        <v>0</v>
      </c>
    </row>
    <row r="28" spans="1:5" ht="22.5" customHeight="1" x14ac:dyDescent="0.2">
      <c r="A28" s="13" t="s">
        <v>53</v>
      </c>
      <c r="B28" s="11" t="s">
        <v>50</v>
      </c>
      <c r="C28" s="39">
        <v>1300000</v>
      </c>
      <c r="D28" s="12"/>
      <c r="E28" s="39">
        <f>C28*D28</f>
        <v>0</v>
      </c>
    </row>
    <row r="29" spans="1:5" ht="22.5" customHeight="1" x14ac:dyDescent="0.2">
      <c r="A29" s="10" t="s">
        <v>124</v>
      </c>
      <c r="B29" s="11" t="s">
        <v>50</v>
      </c>
      <c r="C29" s="39">
        <v>2720000</v>
      </c>
      <c r="D29" s="12">
        <f>IF((($D$2&gt;=10)*($D$2&lt;=11))=1,1,0)</f>
        <v>0</v>
      </c>
      <c r="E29" s="39">
        <f>C29*D29</f>
        <v>0</v>
      </c>
    </row>
    <row r="30" spans="1:5" ht="22.5" customHeight="1" x14ac:dyDescent="0.3">
      <c r="A30" s="9" t="s">
        <v>54</v>
      </c>
      <c r="B30" s="7"/>
      <c r="C30" s="40"/>
      <c r="D30" s="12"/>
      <c r="E30" s="39"/>
    </row>
    <row r="31" spans="1:5" ht="22.5" customHeight="1" x14ac:dyDescent="0.2">
      <c r="A31" s="13" t="s">
        <v>55</v>
      </c>
      <c r="B31" s="11" t="s">
        <v>5</v>
      </c>
      <c r="C31" s="39">
        <v>200000</v>
      </c>
      <c r="D31" s="12">
        <f>IF((($D$2&gt;=10)*($D$2&lt;=11))=1,2,1)</f>
        <v>1</v>
      </c>
      <c r="E31" s="39">
        <f>C31*D31</f>
        <v>200000</v>
      </c>
    </row>
    <row r="32" spans="1:5" ht="22.5" customHeight="1" x14ac:dyDescent="0.2">
      <c r="A32" s="10" t="s">
        <v>100</v>
      </c>
      <c r="B32" s="11" t="s">
        <v>5</v>
      </c>
      <c r="C32" s="39">
        <v>300000</v>
      </c>
      <c r="D32" s="12"/>
      <c r="E32" s="39">
        <f>C32*D32</f>
        <v>0</v>
      </c>
    </row>
    <row r="33" spans="1:5" ht="22.5" customHeight="1" x14ac:dyDescent="0.3">
      <c r="A33" s="16" t="s">
        <v>59</v>
      </c>
      <c r="B33" s="7"/>
      <c r="C33" s="40"/>
      <c r="D33" s="12"/>
      <c r="E33" s="39"/>
    </row>
    <row r="34" spans="1:5" ht="22.5" customHeight="1" x14ac:dyDescent="0.3">
      <c r="A34" s="9" t="s">
        <v>60</v>
      </c>
      <c r="B34" s="7"/>
      <c r="C34" s="40"/>
      <c r="D34" s="12"/>
      <c r="E34" s="39"/>
    </row>
    <row r="35" spans="1:5" ht="22.5" customHeight="1" x14ac:dyDescent="0.2">
      <c r="A35" s="13" t="s">
        <v>61</v>
      </c>
      <c r="B35" s="11" t="s">
        <v>50</v>
      </c>
      <c r="C35" s="39">
        <v>250000</v>
      </c>
      <c r="D35" s="12">
        <f>IF((($D$2&gt;=1)*($D$2&lt;=3))=1,3,0)</f>
        <v>3</v>
      </c>
      <c r="E35" s="39">
        <f>C35*D35</f>
        <v>750000</v>
      </c>
    </row>
    <row r="36" spans="1:5" ht="22.5" customHeight="1" x14ac:dyDescent="0.2">
      <c r="A36" s="10" t="s">
        <v>101</v>
      </c>
      <c r="B36" s="11" t="s">
        <v>50</v>
      </c>
      <c r="C36" s="39">
        <v>250000</v>
      </c>
      <c r="D36" s="12">
        <f>IF((($D$2&gt;=4)*($D$2&lt;=11))=1,3,0)</f>
        <v>0</v>
      </c>
      <c r="E36" s="39">
        <f>C36*D36</f>
        <v>0</v>
      </c>
    </row>
    <row r="37" spans="1:5" ht="22.5" customHeight="1" x14ac:dyDescent="0.2">
      <c r="A37" s="10" t="s">
        <v>102</v>
      </c>
      <c r="B37" s="11" t="s">
        <v>50</v>
      </c>
      <c r="C37" s="39">
        <v>200000</v>
      </c>
      <c r="D37" s="12"/>
      <c r="E37" s="39">
        <f>C37*D37</f>
        <v>0</v>
      </c>
    </row>
    <row r="38" spans="1:5" ht="22.5" customHeight="1" x14ac:dyDescent="0.3">
      <c r="A38" s="16" t="s">
        <v>62</v>
      </c>
      <c r="B38" s="7"/>
      <c r="C38" s="40"/>
      <c r="D38" s="12"/>
      <c r="E38" s="39"/>
    </row>
    <row r="39" spans="1:5" ht="22.5" customHeight="1" x14ac:dyDescent="0.3">
      <c r="A39" s="9" t="s">
        <v>63</v>
      </c>
      <c r="B39" s="7"/>
      <c r="C39" s="40"/>
      <c r="D39" s="12"/>
      <c r="E39" s="39"/>
    </row>
    <row r="40" spans="1:5" ht="22.5" customHeight="1" x14ac:dyDescent="0.2">
      <c r="A40" s="13" t="s">
        <v>64</v>
      </c>
      <c r="B40" s="11" t="s">
        <v>116</v>
      </c>
      <c r="C40" s="39">
        <v>50000</v>
      </c>
      <c r="D40" s="12">
        <f>ROUNDUP(D2*4*3/24,0)</f>
        <v>1</v>
      </c>
      <c r="E40" s="39">
        <f>C40*D40</f>
        <v>50000</v>
      </c>
    </row>
    <row r="41" spans="1:5" ht="22.5" customHeight="1" x14ac:dyDescent="0.2">
      <c r="A41" s="13" t="s">
        <v>66</v>
      </c>
      <c r="B41" s="11" t="s">
        <v>65</v>
      </c>
      <c r="C41" s="39">
        <v>100000</v>
      </c>
      <c r="D41" s="12">
        <v>1</v>
      </c>
      <c r="E41" s="39">
        <f>C41*D41</f>
        <v>100000</v>
      </c>
    </row>
    <row r="42" spans="1:5" ht="22.5" customHeight="1" x14ac:dyDescent="0.2">
      <c r="A42" s="13" t="s">
        <v>67</v>
      </c>
      <c r="B42" s="11" t="s">
        <v>29</v>
      </c>
      <c r="C42" s="39">
        <v>60000</v>
      </c>
      <c r="D42" s="12">
        <f>D2</f>
        <v>2</v>
      </c>
      <c r="E42" s="39">
        <f>C42*D42</f>
        <v>120000</v>
      </c>
    </row>
    <row r="43" spans="1:5" ht="22.5" customHeight="1" x14ac:dyDescent="0.3">
      <c r="A43" s="9" t="s">
        <v>68</v>
      </c>
      <c r="B43" s="7"/>
      <c r="C43" s="14"/>
      <c r="D43" s="12"/>
      <c r="E43" s="39">
        <f>C43*D43</f>
        <v>0</v>
      </c>
    </row>
    <row r="44" spans="1:5" ht="22.5" customHeight="1" x14ac:dyDescent="0.2">
      <c r="A44" s="13" t="s">
        <v>69</v>
      </c>
      <c r="B44" s="11" t="s">
        <v>58</v>
      </c>
      <c r="C44" s="12">
        <v>2000000</v>
      </c>
      <c r="D44" s="12"/>
      <c r="E44" s="39">
        <f>C44*D44</f>
        <v>0</v>
      </c>
    </row>
    <row r="45" spans="1:5" s="1" customFormat="1" ht="30" customHeight="1" x14ac:dyDescent="0.2">
      <c r="A45" s="18" t="s">
        <v>117</v>
      </c>
      <c r="B45" s="17"/>
      <c r="C45" s="5"/>
      <c r="D45" s="12"/>
      <c r="E45" s="42">
        <f>SUM(E5:E44)</f>
        <v>6630000</v>
      </c>
    </row>
    <row r="46" spans="1:5" ht="36" customHeight="1" x14ac:dyDescent="0.2">
      <c r="A46" s="18" t="s">
        <v>121</v>
      </c>
      <c r="B46" s="8"/>
      <c r="C46" s="8"/>
      <c r="D46" s="8"/>
      <c r="E46" s="42">
        <f>E45/D2</f>
        <v>3315000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BAF3-9656-4BE8-8CCF-77CB529217C2}">
  <sheetPr>
    <pageSetUpPr fitToPage="1"/>
  </sheetPr>
  <dimension ref="A1:K47"/>
  <sheetViews>
    <sheetView topLeftCell="A9" zoomScale="85" zoomScaleNormal="85" workbookViewId="0">
      <selection activeCell="C27" sqref="C27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3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/>
      <c r="E6" s="39">
        <f t="shared" ref="E6:E20" si="0">C6*D6</f>
        <v>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>
        <v>1</v>
      </c>
      <c r="E7" s="39">
        <f t="shared" si="0"/>
        <v>950000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1</v>
      </c>
      <c r="E10" s="39">
        <f>C10*D10</f>
        <v>1700000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>
        <v>1</v>
      </c>
      <c r="E11" s="39">
        <f>C11*D11</f>
        <v>500000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3</v>
      </c>
      <c r="E14" s="39">
        <f t="shared" si="0"/>
        <v>480000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1</v>
      </c>
      <c r="E15" s="39">
        <f t="shared" si="0"/>
        <v>500000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3</v>
      </c>
      <c r="E17" s="39">
        <f t="shared" si="0"/>
        <v>270000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3</v>
      </c>
      <c r="E21" s="39">
        <f>C21*D21</f>
        <v>450000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1</v>
      </c>
      <c r="E22" s="39">
        <f>C22*D22</f>
        <v>200000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450000</v>
      </c>
      <c r="D26" s="12">
        <v>3</v>
      </c>
      <c r="E26" s="39">
        <f>C26*D26</f>
        <v>1350000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IF((($D$2&gt;=4)*($D$2&lt;=11))=1,4,0)</f>
        <v>0</v>
      </c>
      <c r="E28" s="39">
        <f>C28*D28</f>
        <v>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3</v>
      </c>
      <c r="E36" s="39">
        <f>C36*D36</f>
        <v>750000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0</v>
      </c>
      <c r="E37" s="39">
        <f>C37*D37</f>
        <v>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2</v>
      </c>
      <c r="E41" s="39">
        <f>C41*D41</f>
        <v>100000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3</v>
      </c>
      <c r="E43" s="39">
        <f>C43*D43</f>
        <v>180000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7840000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2613333.3333333335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053B-27DA-45A5-98A9-4EAA767B7B1B}">
  <sheetPr>
    <pageSetUpPr fitToPage="1"/>
  </sheetPr>
  <dimension ref="A1:K47"/>
  <sheetViews>
    <sheetView topLeftCell="A9" zoomScale="85" zoomScaleNormal="85" workbookViewId="0">
      <selection activeCell="C22" sqref="C2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4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2</v>
      </c>
      <c r="E6" s="39">
        <f t="shared" ref="E6:E20" si="0">C6*D6</f>
        <v>1500000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/>
      <c r="E7" s="39">
        <f t="shared" si="0"/>
        <v>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2</v>
      </c>
      <c r="E10" s="39">
        <f>C10*D10</f>
        <v>3400000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/>
      <c r="E11" s="39">
        <f>C11*D11</f>
        <v>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4</v>
      </c>
      <c r="E14" s="39">
        <f t="shared" si="0"/>
        <v>640000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1</v>
      </c>
      <c r="E15" s="39">
        <f t="shared" si="0"/>
        <v>500000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4</v>
      </c>
      <c r="E17" s="39">
        <f t="shared" si="0"/>
        <v>360000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4</v>
      </c>
      <c r="E21" s="39">
        <f>C21*D21</f>
        <v>600000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2</v>
      </c>
      <c r="E22" s="39">
        <f>C22*D22</f>
        <v>400000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2</v>
      </c>
      <c r="E41" s="39">
        <f>C41*D41</f>
        <v>100000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4</v>
      </c>
      <c r="E43" s="39">
        <f>C43*D43</f>
        <v>240000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12200000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3050000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1177-3BA2-4F65-B567-3285AF5CE5F9}">
  <sheetPr>
    <pageSetUpPr fitToPage="1"/>
  </sheetPr>
  <dimension ref="A1:K47"/>
  <sheetViews>
    <sheetView topLeftCell="A8" zoomScale="85" zoomScaleNormal="85" workbookViewId="0">
      <selection activeCell="C15" sqref="C15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5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1</v>
      </c>
      <c r="E6" s="39">
        <f t="shared" ref="E6:E20" si="0">C6*D6</f>
        <v>750000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>
        <v>1</v>
      </c>
      <c r="E7" s="39">
        <f t="shared" si="0"/>
        <v>950000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2</v>
      </c>
      <c r="E10" s="39">
        <f>C10*D10</f>
        <v>3400000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>
        <v>1</v>
      </c>
      <c r="E11" s="39">
        <f>C11*D11</f>
        <v>500000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5</v>
      </c>
      <c r="E14" s="39">
        <f t="shared" si="0"/>
        <v>800000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2</v>
      </c>
      <c r="E15" s="39">
        <f t="shared" si="0"/>
        <v>1000000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5</v>
      </c>
      <c r="E17" s="39">
        <f t="shared" si="0"/>
        <v>450000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5</v>
      </c>
      <c r="E21" s="39">
        <f>C21*D21</f>
        <v>750000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2</v>
      </c>
      <c r="E22" s="39">
        <f>C22*D22</f>
        <v>400000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3</v>
      </c>
      <c r="E41" s="39">
        <f>C41*D41</f>
        <v>150000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5</v>
      </c>
      <c r="E43" s="39">
        <f>C43*D43</f>
        <v>300000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13910000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2782000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0D2F-AD67-46B1-ADA9-06EE6644A222}">
  <sheetPr>
    <pageSetUpPr fitToPage="1"/>
  </sheetPr>
  <dimension ref="A1:K47"/>
  <sheetViews>
    <sheetView topLeftCell="A10" zoomScale="85" zoomScaleNormal="85" workbookViewId="0">
      <selection activeCell="C22" sqref="C22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6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3</v>
      </c>
      <c r="E6" s="39">
        <f t="shared" ref="E6:E20" si="0">C6*D6</f>
        <v>2250000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/>
      <c r="E7" s="39">
        <f t="shared" si="0"/>
        <v>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3</v>
      </c>
      <c r="E10" s="39">
        <f>C10*D10</f>
        <v>5100000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/>
      <c r="E11" s="39">
        <f>C11*D11</f>
        <v>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6</v>
      </c>
      <c r="E14" s="39">
        <f t="shared" si="0"/>
        <v>960000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2</v>
      </c>
      <c r="E15" s="39">
        <f t="shared" si="0"/>
        <v>1000000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6</v>
      </c>
      <c r="E17" s="39">
        <f t="shared" si="0"/>
        <v>540000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6</v>
      </c>
      <c r="E21" s="39">
        <f>C21*D21</f>
        <v>900000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2</v>
      </c>
      <c r="E22" s="39">
        <f>C22*D22</f>
        <v>400000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3</v>
      </c>
      <c r="E41" s="39">
        <f>C41*D41</f>
        <v>150000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6</v>
      </c>
      <c r="E43" s="39">
        <f>C43*D43</f>
        <v>360000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16120000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2686666.6666666665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4E51-AA6F-4C3E-98AD-DA25777C80FC}">
  <sheetPr>
    <pageSetUpPr fitToPage="1"/>
  </sheetPr>
  <dimension ref="A1:K47"/>
  <sheetViews>
    <sheetView topLeftCell="A16" zoomScale="85" zoomScaleNormal="85" workbookViewId="0">
      <selection activeCell="C15" sqref="C15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7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2</v>
      </c>
      <c r="E6" s="39">
        <f t="shared" ref="E6:E20" si="0">C6*D6</f>
        <v>1500000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>
        <v>1</v>
      </c>
      <c r="E7" s="39">
        <f t="shared" si="0"/>
        <v>950000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3</v>
      </c>
      <c r="E10" s="39">
        <f>C10*D10</f>
        <v>5100000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>
        <v>1</v>
      </c>
      <c r="E11" s="39">
        <f>C11*D11</f>
        <v>500000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7</v>
      </c>
      <c r="E14" s="39">
        <f t="shared" si="0"/>
        <v>1120000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2</v>
      </c>
      <c r="E15" s="39">
        <f t="shared" si="0"/>
        <v>1000000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7</v>
      </c>
      <c r="E17" s="39">
        <f t="shared" si="0"/>
        <v>630000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7</v>
      </c>
      <c r="E21" s="39">
        <f>C21*D21</f>
        <v>1050000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2</v>
      </c>
      <c r="E22" s="39">
        <f>C22*D22</f>
        <v>400000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4</v>
      </c>
      <c r="E41" s="39">
        <f>C41*D41</f>
        <v>200000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7</v>
      </c>
      <c r="E43" s="39">
        <f>C43*D43</f>
        <v>420000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17330000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2475714.2857142859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B99C-A16F-4D73-B03A-BFBB63A15D41}">
  <sheetPr>
    <pageSetUpPr fitToPage="1"/>
  </sheetPr>
  <dimension ref="A1:K47"/>
  <sheetViews>
    <sheetView topLeftCell="A13" zoomScale="85" zoomScaleNormal="85" workbookViewId="0">
      <selection activeCell="C15" sqref="C15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8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4</v>
      </c>
      <c r="E6" s="39">
        <f t="shared" ref="E6:E20" si="0">C6*D6</f>
        <v>3000000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/>
      <c r="E7" s="39">
        <f t="shared" si="0"/>
        <v>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4</v>
      </c>
      <c r="E10" s="39">
        <f>C10*D10</f>
        <v>6800000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/>
      <c r="E11" s="39">
        <f>C11*D11</f>
        <v>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8</v>
      </c>
      <c r="E14" s="39">
        <f t="shared" si="0"/>
        <v>1280000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2</v>
      </c>
      <c r="E15" s="39">
        <f t="shared" si="0"/>
        <v>1000000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8</v>
      </c>
      <c r="E17" s="39">
        <f t="shared" si="0"/>
        <v>720000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8</v>
      </c>
      <c r="E21" s="39">
        <f>C21*D21</f>
        <v>1200000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2</v>
      </c>
      <c r="E22" s="39">
        <f>C22*D22</f>
        <v>400000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4</v>
      </c>
      <c r="E41" s="39">
        <f>C41*D41</f>
        <v>200000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8</v>
      </c>
      <c r="E43" s="39">
        <f>C43*D43</f>
        <v>480000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19540000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2442500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72D2-71C1-4DF2-A9AC-3A68D7431D1B}">
  <sheetPr>
    <pageSetUpPr fitToPage="1"/>
  </sheetPr>
  <dimension ref="A1:K47"/>
  <sheetViews>
    <sheetView zoomScale="85" zoomScaleNormal="85" workbookViewId="0">
      <selection activeCell="C15" sqref="C15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7" bestFit="1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9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3</v>
      </c>
      <c r="E6" s="39">
        <f t="shared" ref="E6:E20" si="0">C6*D6</f>
        <v>2250000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>
        <v>1</v>
      </c>
      <c r="E7" s="39">
        <f t="shared" si="0"/>
        <v>950000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4</v>
      </c>
      <c r="E10" s="39">
        <f>C10*D10</f>
        <v>6800000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>
        <v>1</v>
      </c>
      <c r="E11" s="39">
        <f>C11*D11</f>
        <v>500000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9</v>
      </c>
      <c r="E14" s="39">
        <f t="shared" si="0"/>
        <v>1440000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3</v>
      </c>
      <c r="E15" s="39">
        <f t="shared" si="0"/>
        <v>1500000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5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9</v>
      </c>
      <c r="E17" s="39">
        <f t="shared" si="0"/>
        <v>810000</v>
      </c>
    </row>
    <row r="18" spans="1:5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5" ht="22.5" customHeight="1" x14ac:dyDescent="0.3">
      <c r="A19" s="15" t="s">
        <v>128</v>
      </c>
      <c r="B19" s="7"/>
      <c r="C19" s="41"/>
      <c r="D19" s="12"/>
      <c r="E19" s="39"/>
    </row>
    <row r="20" spans="1:5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5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9</v>
      </c>
      <c r="E21" s="39">
        <f>C21*D21</f>
        <v>1350000</v>
      </c>
    </row>
    <row r="22" spans="1:5" ht="22.5" customHeight="1" x14ac:dyDescent="0.2">
      <c r="A22" s="10" t="s">
        <v>130</v>
      </c>
      <c r="B22" s="11" t="s">
        <v>29</v>
      </c>
      <c r="C22" s="39">
        <v>200000</v>
      </c>
      <c r="D22" s="12">
        <v>2</v>
      </c>
      <c r="E22" s="39">
        <f>C22*D22</f>
        <v>400000</v>
      </c>
    </row>
    <row r="23" spans="1:5" ht="22.5" customHeight="1" x14ac:dyDescent="0.2">
      <c r="A23" s="13" t="s">
        <v>131</v>
      </c>
      <c r="B23" s="11" t="s">
        <v>41</v>
      </c>
      <c r="C23" s="39">
        <v>10000</v>
      </c>
      <c r="D23" s="12">
        <v>1</v>
      </c>
      <c r="E23" s="39">
        <f>C23*D23</f>
        <v>10000</v>
      </c>
    </row>
    <row r="24" spans="1:5" ht="22.5" customHeight="1" x14ac:dyDescent="0.3">
      <c r="A24" s="16" t="s">
        <v>47</v>
      </c>
      <c r="B24" s="7"/>
      <c r="C24" s="40"/>
      <c r="D24" s="12"/>
      <c r="E24" s="39"/>
    </row>
    <row r="25" spans="1:5" ht="22.5" customHeight="1" x14ac:dyDescent="0.3">
      <c r="A25" s="9" t="s">
        <v>48</v>
      </c>
      <c r="B25" s="7"/>
      <c r="C25" s="40"/>
      <c r="D25" s="12"/>
      <c r="E25" s="39"/>
    </row>
    <row r="26" spans="1:5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5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5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5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5" ht="22.5" customHeight="1" x14ac:dyDescent="0.2">
      <c r="A30" s="10" t="s">
        <v>124</v>
      </c>
      <c r="B30" s="11" t="s">
        <v>50</v>
      </c>
      <c r="C30" s="39">
        <v>2720000</v>
      </c>
      <c r="D30" s="12">
        <f>IF((($D$2&gt;=10)*($D$2&lt;=11))=1,1,0)</f>
        <v>0</v>
      </c>
      <c r="E30" s="39">
        <f>C30*D30</f>
        <v>0</v>
      </c>
    </row>
    <row r="31" spans="1:5" ht="22.5" customHeight="1" x14ac:dyDescent="0.3">
      <c r="A31" s="9" t="s">
        <v>54</v>
      </c>
      <c r="B31" s="7"/>
      <c r="C31" s="40"/>
      <c r="D31" s="12"/>
      <c r="E31" s="39"/>
    </row>
    <row r="32" spans="1:5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1</v>
      </c>
      <c r="E32" s="39">
        <f>C32*D32</f>
        <v>200000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5</v>
      </c>
      <c r="E41" s="39">
        <f>C41*D41</f>
        <v>250000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9</v>
      </c>
      <c r="E43" s="39">
        <f>C43*D43</f>
        <v>540000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21250000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2361111.111111111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6386-B774-4797-A717-B73F9EC7F05C}">
  <sheetPr>
    <pageSetUpPr fitToPage="1"/>
  </sheetPr>
  <dimension ref="A1:K47"/>
  <sheetViews>
    <sheetView zoomScale="85" zoomScaleNormal="85" workbookViewId="0">
      <selection activeCell="E30" sqref="E30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12.83203125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10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5</v>
      </c>
      <c r="E6" s="39">
        <f t="shared" ref="E6:E20" si="0">C6*D6</f>
        <v>3750000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/>
      <c r="E7" s="39">
        <f t="shared" si="0"/>
        <v>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5</v>
      </c>
      <c r="E10" s="39">
        <f>C10*D10</f>
        <v>8500000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/>
      <c r="E11" s="39">
        <f>C11*D11</f>
        <v>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10</v>
      </c>
      <c r="E14" s="39">
        <f t="shared" si="0"/>
        <v>1600000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3</v>
      </c>
      <c r="E15" s="39">
        <f t="shared" si="0"/>
        <v>1500000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10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10</v>
      </c>
      <c r="E17" s="39">
        <f t="shared" si="0"/>
        <v>900000</v>
      </c>
    </row>
    <row r="18" spans="1:10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10" ht="22.5" customHeight="1" x14ac:dyDescent="0.3">
      <c r="A19" s="15" t="s">
        <v>128</v>
      </c>
      <c r="B19" s="7"/>
      <c r="C19" s="41"/>
      <c r="D19" s="12"/>
      <c r="E19" s="39"/>
    </row>
    <row r="20" spans="1:10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10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10</v>
      </c>
      <c r="E21" s="39">
        <f>C21*D21</f>
        <v>1500000</v>
      </c>
    </row>
    <row r="22" spans="1:10" ht="22.5" customHeight="1" x14ac:dyDescent="0.2">
      <c r="A22" s="10" t="s">
        <v>130</v>
      </c>
      <c r="B22" s="11" t="s">
        <v>29</v>
      </c>
      <c r="C22" s="39">
        <v>200000</v>
      </c>
      <c r="D22" s="12">
        <v>3</v>
      </c>
      <c r="E22" s="39">
        <f>C22*D22</f>
        <v>600000</v>
      </c>
    </row>
    <row r="23" spans="1:10" ht="22.5" customHeight="1" x14ac:dyDescent="0.2">
      <c r="A23" s="13" t="s">
        <v>131</v>
      </c>
      <c r="B23" s="11" t="s">
        <v>41</v>
      </c>
      <c r="C23" s="39">
        <v>10000</v>
      </c>
      <c r="D23" s="12">
        <v>2</v>
      </c>
      <c r="E23" s="39">
        <f>C23*D23</f>
        <v>20000</v>
      </c>
    </row>
    <row r="24" spans="1:10" ht="22.5" customHeight="1" x14ac:dyDescent="0.3">
      <c r="A24" s="16" t="s">
        <v>47</v>
      </c>
      <c r="B24" s="7"/>
      <c r="C24" s="40"/>
      <c r="D24" s="12"/>
      <c r="E24" s="39"/>
    </row>
    <row r="25" spans="1:10" ht="22.5" customHeight="1" x14ac:dyDescent="0.3">
      <c r="A25" s="9" t="s">
        <v>48</v>
      </c>
      <c r="B25" s="7"/>
      <c r="C25" s="40"/>
      <c r="D25" s="12"/>
      <c r="E25" s="39"/>
    </row>
    <row r="26" spans="1:10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10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10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10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10" ht="22.5" customHeight="1" x14ac:dyDescent="0.2">
      <c r="A30" s="10" t="s">
        <v>124</v>
      </c>
      <c r="B30" s="11" t="s">
        <v>50</v>
      </c>
      <c r="C30" s="39">
        <v>650000</v>
      </c>
      <c r="D30" s="12">
        <v>3</v>
      </c>
      <c r="E30" s="39">
        <f>C30*D30</f>
        <v>1950000</v>
      </c>
      <c r="J30" s="49">
        <f>I30*3</f>
        <v>0</v>
      </c>
    </row>
    <row r="31" spans="1:10" ht="22.5" customHeight="1" x14ac:dyDescent="0.3">
      <c r="A31" s="9" t="s">
        <v>54</v>
      </c>
      <c r="B31" s="7"/>
      <c r="C31" s="40"/>
      <c r="D31" s="12"/>
      <c r="E31" s="39"/>
    </row>
    <row r="32" spans="1:10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2</v>
      </c>
      <c r="E32" s="39">
        <f>C32*D32</f>
        <v>400000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5</v>
      </c>
      <c r="E41" s="39">
        <f>C41*D41</f>
        <v>250000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10</v>
      </c>
      <c r="E43" s="39">
        <f>C43*D43</f>
        <v>600000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25820000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2582000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0B109-C6B3-4F2A-914B-0546E778DE40}">
  <sheetPr>
    <pageSetUpPr fitToPage="1"/>
  </sheetPr>
  <dimension ref="A1:K47"/>
  <sheetViews>
    <sheetView topLeftCell="A2" zoomScale="85" zoomScaleNormal="85" workbookViewId="0">
      <selection activeCell="E30" sqref="E30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12.83203125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11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4</v>
      </c>
      <c r="E6" s="39">
        <f t="shared" ref="E6:E20" si="0">C6*D6</f>
        <v>3000000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>
        <v>1</v>
      </c>
      <c r="E7" s="39">
        <f t="shared" si="0"/>
        <v>950000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5</v>
      </c>
      <c r="E10" s="39">
        <f>C10*D10</f>
        <v>8500000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>
        <v>1</v>
      </c>
      <c r="E11" s="39">
        <f>C11*D11</f>
        <v>500000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11</v>
      </c>
      <c r="E14" s="39">
        <f t="shared" si="0"/>
        <v>1760000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3</v>
      </c>
      <c r="E15" s="39">
        <f t="shared" si="0"/>
        <v>1500000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10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11</v>
      </c>
      <c r="E17" s="39">
        <f t="shared" si="0"/>
        <v>990000</v>
      </c>
    </row>
    <row r="18" spans="1:10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10" ht="22.5" customHeight="1" x14ac:dyDescent="0.3">
      <c r="A19" s="15" t="s">
        <v>128</v>
      </c>
      <c r="B19" s="7"/>
      <c r="C19" s="41"/>
      <c r="D19" s="12"/>
      <c r="E19" s="39"/>
    </row>
    <row r="20" spans="1:10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10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11</v>
      </c>
      <c r="E21" s="39">
        <f>C21*D21</f>
        <v>1650000</v>
      </c>
    </row>
    <row r="22" spans="1:10" ht="22.5" customHeight="1" x14ac:dyDescent="0.2">
      <c r="A22" s="10" t="s">
        <v>130</v>
      </c>
      <c r="B22" s="11" t="s">
        <v>29</v>
      </c>
      <c r="C22" s="39">
        <v>200000</v>
      </c>
      <c r="D22" s="12">
        <v>3</v>
      </c>
      <c r="E22" s="39">
        <f>C22*D22</f>
        <v>600000</v>
      </c>
    </row>
    <row r="23" spans="1:10" ht="22.5" customHeight="1" x14ac:dyDescent="0.2">
      <c r="A23" s="13" t="s">
        <v>131</v>
      </c>
      <c r="B23" s="11" t="s">
        <v>41</v>
      </c>
      <c r="C23" s="39">
        <v>10000</v>
      </c>
      <c r="D23" s="12">
        <v>2</v>
      </c>
      <c r="E23" s="39">
        <f>C23*D23</f>
        <v>20000</v>
      </c>
    </row>
    <row r="24" spans="1:10" ht="22.5" customHeight="1" x14ac:dyDescent="0.3">
      <c r="A24" s="16" t="s">
        <v>47</v>
      </c>
      <c r="B24" s="7"/>
      <c r="C24" s="40"/>
      <c r="D24" s="12"/>
      <c r="E24" s="39"/>
    </row>
    <row r="25" spans="1:10" ht="22.5" customHeight="1" x14ac:dyDescent="0.3">
      <c r="A25" s="9" t="s">
        <v>48</v>
      </c>
      <c r="B25" s="7"/>
      <c r="C25" s="40"/>
      <c r="D25" s="12"/>
      <c r="E25" s="39"/>
    </row>
    <row r="26" spans="1:10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10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10" ht="22.5" customHeight="1" x14ac:dyDescent="0.2">
      <c r="A28" s="10" t="s">
        <v>52</v>
      </c>
      <c r="B28" s="11" t="s">
        <v>50</v>
      </c>
      <c r="C28" s="39">
        <v>1100000</v>
      </c>
      <c r="D28" s="12">
        <f>IF((($D$2&gt;=4)*($D$2&lt;=11))=1,3,0)</f>
        <v>3</v>
      </c>
      <c r="E28" s="39">
        <f>C28*D28</f>
        <v>3300000</v>
      </c>
    </row>
    <row r="29" spans="1:10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10" ht="22.5" customHeight="1" x14ac:dyDescent="0.2">
      <c r="A30" s="10" t="s">
        <v>124</v>
      </c>
      <c r="B30" s="11" t="s">
        <v>50</v>
      </c>
      <c r="C30" s="39">
        <v>650000</v>
      </c>
      <c r="D30" s="12">
        <v>3</v>
      </c>
      <c r="E30" s="39">
        <f>C30*D30</f>
        <v>1950000</v>
      </c>
      <c r="J30" s="49">
        <f>I30*3</f>
        <v>0</v>
      </c>
    </row>
    <row r="31" spans="1:10" ht="22.5" customHeight="1" x14ac:dyDescent="0.3">
      <c r="A31" s="9" t="s">
        <v>54</v>
      </c>
      <c r="B31" s="7"/>
      <c r="C31" s="40"/>
      <c r="D31" s="12"/>
      <c r="E31" s="39"/>
    </row>
    <row r="32" spans="1:10" ht="22.5" customHeight="1" x14ac:dyDescent="0.2">
      <c r="A32" s="13" t="s">
        <v>55</v>
      </c>
      <c r="B32" s="11" t="s">
        <v>5</v>
      </c>
      <c r="C32" s="39">
        <v>200000</v>
      </c>
      <c r="D32" s="12">
        <f>IF((($D$2&gt;=10)*($D$2&lt;=11))=1,2,1)</f>
        <v>2</v>
      </c>
      <c r="E32" s="39">
        <f>C32*D32</f>
        <v>400000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f>IF((($D$2&gt;=4)*($D$2&lt;=11))=1,3,0)</f>
        <v>3</v>
      </c>
      <c r="E37" s="39">
        <f>C37*D37</f>
        <v>750000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6</v>
      </c>
      <c r="E41" s="39">
        <f>C41*D41</f>
        <v>300000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1</v>
      </c>
      <c r="E42" s="39">
        <f>C42*D42</f>
        <v>100000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11</v>
      </c>
      <c r="E43" s="39">
        <f>C43*D43</f>
        <v>660000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27030000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2457272.7272727271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7B22-FA01-4A49-BE6A-913188B3A4D5}">
  <sheetPr>
    <pageSetUpPr fitToPage="1"/>
  </sheetPr>
  <dimension ref="A1:K47"/>
  <sheetViews>
    <sheetView topLeftCell="A14" zoomScale="85" zoomScaleNormal="85" workbookViewId="0">
      <selection activeCell="D30" sqref="D30"/>
    </sheetView>
  </sheetViews>
  <sheetFormatPr defaultColWidth="9" defaultRowHeight="12.75" x14ac:dyDescent="0.2"/>
  <cols>
    <col min="1" max="1" width="93.83203125" customWidth="1"/>
    <col min="2" max="2" width="20.6640625" customWidth="1"/>
    <col min="3" max="3" width="29.1640625" customWidth="1"/>
    <col min="4" max="4" width="21.6640625" customWidth="1"/>
    <col min="5" max="5" width="25.33203125" customWidth="1"/>
    <col min="8" max="8" width="12.83203125" customWidth="1"/>
    <col min="9" max="9" width="27.6640625" customWidth="1"/>
    <col min="10" max="10" width="36.33203125" customWidth="1"/>
    <col min="11" max="11" width="24.83203125" customWidth="1"/>
    <col min="12" max="12" width="20.33203125" bestFit="1" customWidth="1"/>
    <col min="13" max="13" width="18.6640625" bestFit="1" customWidth="1"/>
    <col min="14" max="14" width="27.33203125" bestFit="1" customWidth="1"/>
  </cols>
  <sheetData>
    <row r="1" spans="1:11" ht="25.5" customHeight="1" x14ac:dyDescent="0.2">
      <c r="A1" s="2" t="s">
        <v>110</v>
      </c>
      <c r="B1" s="2"/>
      <c r="C1" s="2" t="s">
        <v>112</v>
      </c>
      <c r="D1" s="2" t="s">
        <v>113</v>
      </c>
    </row>
    <row r="2" spans="1:11" ht="27.75" customHeight="1" x14ac:dyDescent="0.2">
      <c r="A2" s="3" t="s">
        <v>134</v>
      </c>
      <c r="B2" s="3"/>
      <c r="C2" s="3">
        <v>3</v>
      </c>
      <c r="D2" s="43">
        <v>12</v>
      </c>
    </row>
    <row r="3" spans="1:11" ht="27.75" customHeight="1" x14ac:dyDescent="0.2">
      <c r="A3" s="4"/>
      <c r="B3" s="4"/>
      <c r="C3" s="4"/>
    </row>
    <row r="4" spans="1:11" ht="35.25" customHeight="1" x14ac:dyDescent="0.2">
      <c r="A4" s="5" t="s">
        <v>0</v>
      </c>
      <c r="B4" s="5" t="s">
        <v>1</v>
      </c>
      <c r="C4" s="5" t="s">
        <v>2</v>
      </c>
      <c r="D4" s="5" t="s">
        <v>114</v>
      </c>
      <c r="E4" s="5" t="s">
        <v>115</v>
      </c>
      <c r="I4" s="44"/>
      <c r="J4" s="44"/>
      <c r="K4" s="44"/>
    </row>
    <row r="5" spans="1:11" ht="22.5" customHeight="1" x14ac:dyDescent="0.3">
      <c r="A5" s="9" t="s">
        <v>8</v>
      </c>
      <c r="B5" s="7"/>
      <c r="C5" s="40"/>
      <c r="D5" s="12"/>
      <c r="E5" s="39"/>
    </row>
    <row r="6" spans="1:11" ht="22.5" customHeight="1" x14ac:dyDescent="0.2">
      <c r="A6" s="10" t="s">
        <v>89</v>
      </c>
      <c r="B6" s="11" t="s">
        <v>5</v>
      </c>
      <c r="C6" s="39">
        <v>750000</v>
      </c>
      <c r="D6" s="12">
        <v>6</v>
      </c>
      <c r="E6" s="39">
        <f t="shared" ref="E6:E20" si="0">C6*D6</f>
        <v>4500000</v>
      </c>
    </row>
    <row r="7" spans="1:11" ht="22.5" customHeight="1" x14ac:dyDescent="0.2">
      <c r="A7" s="10" t="s">
        <v>90</v>
      </c>
      <c r="B7" s="11" t="s">
        <v>5</v>
      </c>
      <c r="C7" s="39">
        <v>950000</v>
      </c>
      <c r="D7" s="12"/>
      <c r="E7" s="39">
        <f t="shared" si="0"/>
        <v>0</v>
      </c>
    </row>
    <row r="8" spans="1:11" ht="22.5" customHeight="1" x14ac:dyDescent="0.2">
      <c r="A8" s="10" t="s">
        <v>91</v>
      </c>
      <c r="B8" s="11" t="s">
        <v>5</v>
      </c>
      <c r="C8" s="39">
        <v>300000</v>
      </c>
      <c r="D8" s="12"/>
      <c r="E8" s="39">
        <f t="shared" si="0"/>
        <v>0</v>
      </c>
    </row>
    <row r="9" spans="1:11" ht="22.5" customHeight="1" x14ac:dyDescent="0.3">
      <c r="A9" s="15" t="s">
        <v>126</v>
      </c>
      <c r="B9" s="7"/>
      <c r="C9" s="40"/>
      <c r="D9" s="12"/>
      <c r="E9" s="39"/>
    </row>
    <row r="10" spans="1:11" ht="22.5" customHeight="1" x14ac:dyDescent="0.2">
      <c r="A10" s="10" t="s">
        <v>127</v>
      </c>
      <c r="B10" s="11" t="s">
        <v>5</v>
      </c>
      <c r="C10" s="39">
        <v>1700000</v>
      </c>
      <c r="D10" s="12">
        <v>6</v>
      </c>
      <c r="E10" s="39">
        <f>C10*D10</f>
        <v>10200000</v>
      </c>
    </row>
    <row r="11" spans="1:11" ht="22.5" customHeight="1" x14ac:dyDescent="0.2">
      <c r="A11" s="10" t="s">
        <v>132</v>
      </c>
      <c r="B11" s="11" t="s">
        <v>5</v>
      </c>
      <c r="C11" s="39">
        <v>500000</v>
      </c>
      <c r="D11" s="12"/>
      <c r="E11" s="39">
        <f>C11*D11</f>
        <v>0</v>
      </c>
    </row>
    <row r="12" spans="1:11" ht="22.5" customHeight="1" x14ac:dyDescent="0.3">
      <c r="A12" s="6" t="s">
        <v>27</v>
      </c>
      <c r="B12" s="7"/>
      <c r="C12" s="40"/>
      <c r="D12" s="12"/>
      <c r="E12" s="39"/>
    </row>
    <row r="13" spans="1:11" ht="22.5" customHeight="1" x14ac:dyDescent="0.3">
      <c r="A13" s="9" t="s">
        <v>35</v>
      </c>
      <c r="B13" s="7"/>
      <c r="C13" s="41"/>
      <c r="D13" s="12"/>
      <c r="E13" s="39"/>
    </row>
    <row r="14" spans="1:11" ht="22.5" customHeight="1" x14ac:dyDescent="0.2">
      <c r="A14" s="10" t="s">
        <v>86</v>
      </c>
      <c r="B14" s="11" t="s">
        <v>29</v>
      </c>
      <c r="C14" s="39">
        <v>160000</v>
      </c>
      <c r="D14" s="12">
        <f>$D$2</f>
        <v>12</v>
      </c>
      <c r="E14" s="39">
        <f t="shared" si="0"/>
        <v>1920000</v>
      </c>
    </row>
    <row r="15" spans="1:11" ht="22.5" customHeight="1" x14ac:dyDescent="0.2">
      <c r="A15" s="13" t="s">
        <v>36</v>
      </c>
      <c r="B15" s="11" t="s">
        <v>29</v>
      </c>
      <c r="C15" s="39">
        <v>500000</v>
      </c>
      <c r="D15" s="12">
        <f>ROUNDUP(D2/4,0)</f>
        <v>3</v>
      </c>
      <c r="E15" s="39">
        <f t="shared" si="0"/>
        <v>1500000</v>
      </c>
    </row>
    <row r="16" spans="1:11" ht="22.5" customHeight="1" x14ac:dyDescent="0.3">
      <c r="A16" s="15" t="s">
        <v>37</v>
      </c>
      <c r="B16" s="7"/>
      <c r="C16" s="41"/>
      <c r="D16" s="12"/>
      <c r="E16" s="39"/>
    </row>
    <row r="17" spans="1:10" ht="22.5" customHeight="1" x14ac:dyDescent="0.2">
      <c r="A17" s="13" t="s">
        <v>38</v>
      </c>
      <c r="B17" s="11" t="s">
        <v>29</v>
      </c>
      <c r="C17" s="39">
        <v>90000</v>
      </c>
      <c r="D17" s="12">
        <f>$D$2</f>
        <v>12</v>
      </c>
      <c r="E17" s="39">
        <f t="shared" si="0"/>
        <v>1080000</v>
      </c>
    </row>
    <row r="18" spans="1:10" ht="22.5" customHeight="1" x14ac:dyDescent="0.2">
      <c r="A18" s="10" t="s">
        <v>107</v>
      </c>
      <c r="B18" s="11" t="s">
        <v>5</v>
      </c>
      <c r="C18" s="39">
        <v>100000</v>
      </c>
      <c r="D18" s="12">
        <v>1</v>
      </c>
      <c r="E18" s="39">
        <f t="shared" si="0"/>
        <v>100000</v>
      </c>
    </row>
    <row r="19" spans="1:10" ht="22.5" customHeight="1" x14ac:dyDescent="0.3">
      <c r="A19" s="15" t="s">
        <v>128</v>
      </c>
      <c r="B19" s="7"/>
      <c r="C19" s="41"/>
      <c r="D19" s="12"/>
      <c r="E19" s="39"/>
    </row>
    <row r="20" spans="1:10" ht="22.5" customHeight="1" x14ac:dyDescent="0.2">
      <c r="A20" s="45" t="s">
        <v>133</v>
      </c>
      <c r="B20" s="46" t="s">
        <v>118</v>
      </c>
      <c r="C20" s="47">
        <v>650000</v>
      </c>
      <c r="D20" s="48"/>
      <c r="E20" s="47">
        <f t="shared" si="0"/>
        <v>0</v>
      </c>
    </row>
    <row r="21" spans="1:10" ht="22.5" customHeight="1" x14ac:dyDescent="0.2">
      <c r="A21" s="10" t="s">
        <v>129</v>
      </c>
      <c r="B21" s="11" t="s">
        <v>5</v>
      </c>
      <c r="C21" s="39">
        <v>150000</v>
      </c>
      <c r="D21" s="12">
        <f>$D$2</f>
        <v>12</v>
      </c>
      <c r="E21" s="39">
        <f>C21*D21</f>
        <v>1800000</v>
      </c>
    </row>
    <row r="22" spans="1:10" ht="22.5" customHeight="1" x14ac:dyDescent="0.2">
      <c r="A22" s="10" t="s">
        <v>130</v>
      </c>
      <c r="B22" s="11" t="s">
        <v>29</v>
      </c>
      <c r="C22" s="39">
        <v>200000</v>
      </c>
      <c r="D22" s="12">
        <v>4</v>
      </c>
      <c r="E22" s="39">
        <f>C22*D22</f>
        <v>800000</v>
      </c>
    </row>
    <row r="23" spans="1:10" ht="22.5" customHeight="1" x14ac:dyDescent="0.2">
      <c r="A23" s="13" t="s">
        <v>131</v>
      </c>
      <c r="B23" s="11" t="s">
        <v>41</v>
      </c>
      <c r="C23" s="39">
        <v>10000</v>
      </c>
      <c r="D23" s="12">
        <v>2</v>
      </c>
      <c r="E23" s="39">
        <f>C23*D23</f>
        <v>20000</v>
      </c>
    </row>
    <row r="24" spans="1:10" ht="22.5" customHeight="1" x14ac:dyDescent="0.3">
      <c r="A24" s="16" t="s">
        <v>47</v>
      </c>
      <c r="B24" s="7"/>
      <c r="C24" s="40"/>
      <c r="D24" s="12"/>
      <c r="E24" s="39"/>
    </row>
    <row r="25" spans="1:10" ht="22.5" customHeight="1" x14ac:dyDescent="0.3">
      <c r="A25" s="9" t="s">
        <v>48</v>
      </c>
      <c r="B25" s="7"/>
      <c r="C25" s="40"/>
      <c r="D25" s="12"/>
      <c r="E25" s="39"/>
    </row>
    <row r="26" spans="1:10" ht="22.5" customHeight="1" x14ac:dyDescent="0.2">
      <c r="A26" s="13" t="s">
        <v>49</v>
      </c>
      <c r="B26" s="11" t="s">
        <v>50</v>
      </c>
      <c r="C26" s="39">
        <v>480000</v>
      </c>
      <c r="D26" s="12"/>
      <c r="E26" s="39">
        <f>C26*D26</f>
        <v>0</v>
      </c>
    </row>
    <row r="27" spans="1:10" ht="22.5" customHeight="1" x14ac:dyDescent="0.2">
      <c r="A27" s="13" t="s">
        <v>51</v>
      </c>
      <c r="B27" s="11" t="s">
        <v>50</v>
      </c>
      <c r="C27" s="39">
        <v>550000</v>
      </c>
      <c r="D27" s="12"/>
      <c r="E27" s="39">
        <f>C27*D27</f>
        <v>0</v>
      </c>
    </row>
    <row r="28" spans="1:10" ht="22.5" customHeight="1" x14ac:dyDescent="0.2">
      <c r="A28" s="10" t="s">
        <v>52</v>
      </c>
      <c r="B28" s="11" t="s">
        <v>50</v>
      </c>
      <c r="C28" s="39">
        <v>1100000</v>
      </c>
      <c r="D28" s="12">
        <v>6</v>
      </c>
      <c r="E28" s="39">
        <f>C28*D28</f>
        <v>6600000</v>
      </c>
    </row>
    <row r="29" spans="1:10" ht="22.5" customHeight="1" x14ac:dyDescent="0.2">
      <c r="A29" s="13" t="s">
        <v>53</v>
      </c>
      <c r="B29" s="11" t="s">
        <v>50</v>
      </c>
      <c r="C29" s="39">
        <v>1300000</v>
      </c>
      <c r="D29" s="12"/>
      <c r="E29" s="39">
        <f>C29*D29</f>
        <v>0</v>
      </c>
    </row>
    <row r="30" spans="1:10" ht="22.5" customHeight="1" x14ac:dyDescent="0.2">
      <c r="A30" s="10" t="s">
        <v>124</v>
      </c>
      <c r="B30" s="11" t="s">
        <v>50</v>
      </c>
      <c r="C30" s="39">
        <v>650000</v>
      </c>
      <c r="D30" s="12"/>
      <c r="E30" s="39">
        <f>C30*D30</f>
        <v>0</v>
      </c>
      <c r="J30" s="49">
        <f>I30*3</f>
        <v>0</v>
      </c>
    </row>
    <row r="31" spans="1:10" ht="22.5" customHeight="1" x14ac:dyDescent="0.3">
      <c r="A31" s="9" t="s">
        <v>54</v>
      </c>
      <c r="B31" s="7"/>
      <c r="C31" s="40"/>
      <c r="D31" s="12"/>
      <c r="E31" s="39"/>
    </row>
    <row r="32" spans="1:10" ht="22.5" customHeight="1" x14ac:dyDescent="0.2">
      <c r="A32" s="13" t="s">
        <v>55</v>
      </c>
      <c r="B32" s="11" t="s">
        <v>5</v>
      </c>
      <c r="C32" s="39">
        <v>200000</v>
      </c>
      <c r="D32" s="12">
        <v>2</v>
      </c>
      <c r="E32" s="39">
        <f>C32*D32</f>
        <v>400000</v>
      </c>
    </row>
    <row r="33" spans="1:5" ht="22.5" customHeight="1" x14ac:dyDescent="0.2">
      <c r="A33" s="10" t="s">
        <v>100</v>
      </c>
      <c r="B33" s="11" t="s">
        <v>5</v>
      </c>
      <c r="C33" s="39">
        <v>300000</v>
      </c>
      <c r="D33" s="12"/>
      <c r="E33" s="39">
        <f>C33*D33</f>
        <v>0</v>
      </c>
    </row>
    <row r="34" spans="1:5" ht="22.5" customHeight="1" x14ac:dyDescent="0.3">
      <c r="A34" s="16" t="s">
        <v>59</v>
      </c>
      <c r="B34" s="7"/>
      <c r="C34" s="40"/>
      <c r="D34" s="12"/>
      <c r="E34" s="39"/>
    </row>
    <row r="35" spans="1:5" ht="22.5" customHeight="1" x14ac:dyDescent="0.3">
      <c r="A35" s="9" t="s">
        <v>60</v>
      </c>
      <c r="B35" s="7"/>
      <c r="C35" s="40"/>
      <c r="D35" s="12"/>
      <c r="E35" s="39"/>
    </row>
    <row r="36" spans="1:5" ht="22.5" customHeight="1" x14ac:dyDescent="0.2">
      <c r="A36" s="13" t="s">
        <v>61</v>
      </c>
      <c r="B36" s="11" t="s">
        <v>50</v>
      </c>
      <c r="C36" s="39">
        <v>250000</v>
      </c>
      <c r="D36" s="12">
        <f>IF((($D$2&gt;=1)*($D$2&lt;=3))=1,3,0)</f>
        <v>0</v>
      </c>
      <c r="E36" s="39">
        <f>C36*D36</f>
        <v>0</v>
      </c>
    </row>
    <row r="37" spans="1:5" ht="22.5" customHeight="1" x14ac:dyDescent="0.2">
      <c r="A37" s="10" t="s">
        <v>101</v>
      </c>
      <c r="B37" s="11" t="s">
        <v>50</v>
      </c>
      <c r="C37" s="39">
        <v>250000</v>
      </c>
      <c r="D37" s="12">
        <v>6</v>
      </c>
      <c r="E37" s="39">
        <f>C37*D37</f>
        <v>1500000</v>
      </c>
    </row>
    <row r="38" spans="1:5" ht="22.5" customHeight="1" x14ac:dyDescent="0.2">
      <c r="A38" s="10" t="s">
        <v>102</v>
      </c>
      <c r="B38" s="11" t="s">
        <v>50</v>
      </c>
      <c r="C38" s="39">
        <v>200000</v>
      </c>
      <c r="D38" s="12"/>
      <c r="E38" s="39">
        <f>C38*D38</f>
        <v>0</v>
      </c>
    </row>
    <row r="39" spans="1:5" ht="22.5" customHeight="1" x14ac:dyDescent="0.3">
      <c r="A39" s="16" t="s">
        <v>62</v>
      </c>
      <c r="B39" s="7"/>
      <c r="C39" s="40"/>
      <c r="D39" s="12"/>
      <c r="E39" s="39"/>
    </row>
    <row r="40" spans="1:5" ht="22.5" customHeight="1" x14ac:dyDescent="0.3">
      <c r="A40" s="9" t="s">
        <v>63</v>
      </c>
      <c r="B40" s="7"/>
      <c r="C40" s="40"/>
      <c r="D40" s="12"/>
      <c r="E40" s="39"/>
    </row>
    <row r="41" spans="1:5" ht="22.5" customHeight="1" x14ac:dyDescent="0.2">
      <c r="A41" s="13" t="s">
        <v>64</v>
      </c>
      <c r="B41" s="11" t="s">
        <v>116</v>
      </c>
      <c r="C41" s="39">
        <v>50000</v>
      </c>
      <c r="D41" s="12">
        <f>ROUNDUP(D2*4*3/24,0)</f>
        <v>6</v>
      </c>
      <c r="E41" s="39">
        <f>C41*D41</f>
        <v>300000</v>
      </c>
    </row>
    <row r="42" spans="1:5" ht="22.5" customHeight="1" x14ac:dyDescent="0.2">
      <c r="A42" s="13" t="s">
        <v>66</v>
      </c>
      <c r="B42" s="11" t="s">
        <v>65</v>
      </c>
      <c r="C42" s="39">
        <v>100000</v>
      </c>
      <c r="D42" s="12">
        <v>2</v>
      </c>
      <c r="E42" s="39">
        <f>C42*D42</f>
        <v>200000</v>
      </c>
    </row>
    <row r="43" spans="1:5" ht="22.5" customHeight="1" x14ac:dyDescent="0.2">
      <c r="A43" s="13" t="s">
        <v>67</v>
      </c>
      <c r="B43" s="11" t="s">
        <v>29</v>
      </c>
      <c r="C43" s="39">
        <v>60000</v>
      </c>
      <c r="D43" s="12">
        <f>D2</f>
        <v>12</v>
      </c>
      <c r="E43" s="39">
        <f>C43*D43</f>
        <v>720000</v>
      </c>
    </row>
    <row r="44" spans="1:5" ht="22.5" customHeight="1" x14ac:dyDescent="0.3">
      <c r="A44" s="9" t="s">
        <v>68</v>
      </c>
      <c r="B44" s="7"/>
      <c r="C44" s="14"/>
      <c r="D44" s="12"/>
      <c r="E44" s="39">
        <f>C44*D44</f>
        <v>0</v>
      </c>
    </row>
    <row r="45" spans="1:5" ht="22.5" customHeight="1" x14ac:dyDescent="0.2">
      <c r="A45" s="13" t="s">
        <v>69</v>
      </c>
      <c r="B45" s="11" t="s">
        <v>58</v>
      </c>
      <c r="C45" s="12">
        <v>2000000</v>
      </c>
      <c r="D45" s="12"/>
      <c r="E45" s="39">
        <f>C45*D45</f>
        <v>0</v>
      </c>
    </row>
    <row r="46" spans="1:5" s="1" customFormat="1" ht="30" customHeight="1" x14ac:dyDescent="0.2">
      <c r="A46" s="18" t="s">
        <v>117</v>
      </c>
      <c r="B46" s="17"/>
      <c r="C46" s="5"/>
      <c r="D46" s="12"/>
      <c r="E46" s="42">
        <f>SUM(E5:E45)</f>
        <v>31640000</v>
      </c>
    </row>
    <row r="47" spans="1:5" ht="36" customHeight="1" x14ac:dyDescent="0.2">
      <c r="A47" s="18" t="s">
        <v>121</v>
      </c>
      <c r="B47" s="8"/>
      <c r="C47" s="8"/>
      <c r="D47" s="8"/>
      <c r="E47" s="42">
        <f>E46/D2</f>
        <v>2636666.6666666665</v>
      </c>
    </row>
  </sheetData>
  <pageMargins left="0.7" right="0.7" top="0.75" bottom="0.75" header="0.3" footer="0.3"/>
  <pageSetup paperSize="9" scale="8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Calculation</vt:lpstr>
      <vt:lpstr>Summary</vt:lpstr>
      <vt:lpstr>8 Pax Ori</vt:lpstr>
      <vt:lpstr>12 Pax Ori</vt:lpstr>
      <vt:lpstr>2 Pax Safari</vt:lpstr>
      <vt:lpstr>3 Pax Safari</vt:lpstr>
      <vt:lpstr>4 Pax Safari</vt:lpstr>
      <vt:lpstr>5 Pax Safari</vt:lpstr>
      <vt:lpstr>6 Pax Safari</vt:lpstr>
      <vt:lpstr>7 Pax Safari</vt:lpstr>
      <vt:lpstr>8 Pax Safari</vt:lpstr>
      <vt:lpstr>9 Pax Safari</vt:lpstr>
      <vt:lpstr>10 Pax Safari</vt:lpstr>
      <vt:lpstr>11 Pax Safari</vt:lpstr>
      <vt:lpstr>12 Pax Safari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Java Volcano Rendezvous</cp:lastModifiedBy>
  <cp:revision/>
  <cp:lastPrinted>2024-12-31T04:09:48Z</cp:lastPrinted>
  <dcterms:created xsi:type="dcterms:W3CDTF">2023-11-29T03:56:29Z</dcterms:created>
  <dcterms:modified xsi:type="dcterms:W3CDTF">2025-06-12T08:41:15Z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2023-10-12T00:00:00Z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2023-11-29T00:00:00Z</vt:filetime>
  </property>
  <property fmtid="{D5CDD505-2E9C-101B-9397-08002B2CF9AE}" pid="5" name="Producer">
    <vt:lpwstr>Microsoft® Excel® 2021</vt:lpwstr>
  </property>
</Properties>
</file>