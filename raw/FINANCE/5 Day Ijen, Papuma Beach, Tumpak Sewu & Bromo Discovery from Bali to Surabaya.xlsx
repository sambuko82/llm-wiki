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REBUILD/EXPENSE/2024/Expense Per Paket/3D 2N/"/>
    </mc:Choice>
  </mc:AlternateContent>
  <xr:revisionPtr revIDLastSave="579" documentId="8_{49DE2DE6-D929-4DA0-BB4F-4F6EC9A2F1B6}" xr6:coauthVersionLast="47" xr6:coauthVersionMax="47" xr10:uidLastSave="{68A45133-75A8-644D-B105-7D6436E6E7C1}"/>
  <bookViews>
    <workbookView xWindow="19100" yWindow="500" windowWidth="19420" windowHeight="15580" activeTab="1" xr2:uid="{00000000-000D-0000-FFFF-FFFF00000000}"/>
  </bookViews>
  <sheets>
    <sheet name="Calculation" sheetId="2" r:id="rId1"/>
    <sheet name="Summ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2" l="1"/>
  <c r="E100" i="2" s="1"/>
  <c r="D96" i="2"/>
  <c r="E96" i="2" s="1"/>
  <c r="D95" i="2"/>
  <c r="E95" i="2" s="1"/>
  <c r="D89" i="2"/>
  <c r="E89" i="2" s="1"/>
  <c r="D82" i="2"/>
  <c r="E82" i="2" s="1"/>
  <c r="D81" i="2"/>
  <c r="E81" i="2" s="1"/>
  <c r="D80" i="2"/>
  <c r="E80" i="2" s="1"/>
  <c r="D48" i="2"/>
  <c r="E48" i="2" s="1"/>
  <c r="E70" i="2"/>
  <c r="E71" i="2"/>
  <c r="E72" i="2"/>
  <c r="D74" i="2"/>
  <c r="E74" i="2" s="1"/>
  <c r="D56" i="2"/>
  <c r="E56" i="2" s="1"/>
  <c r="D54" i="2"/>
  <c r="E54" i="2" s="1"/>
  <c r="D52" i="2"/>
  <c r="E52" i="2" s="1"/>
  <c r="D36" i="2"/>
  <c r="E36" i="2" s="1"/>
  <c r="E8" i="2"/>
  <c r="D7" i="2"/>
  <c r="E7" i="2" s="1"/>
  <c r="D73" i="2"/>
  <c r="E73" i="2" s="1"/>
  <c r="D68" i="2"/>
  <c r="E68" i="2" s="1"/>
  <c r="D106" i="2"/>
  <c r="E106" i="2" s="1"/>
  <c r="D91" i="2"/>
  <c r="E91" i="2" s="1"/>
  <c r="D92" i="2"/>
  <c r="E92" i="2" s="1"/>
  <c r="D86" i="2"/>
  <c r="E86" i="2" s="1"/>
  <c r="D84" i="2"/>
  <c r="E84" i="2" s="1"/>
  <c r="E3" i="3"/>
  <c r="E4" i="3"/>
  <c r="E5" i="3"/>
  <c r="E6" i="3"/>
  <c r="E7" i="3"/>
  <c r="E8" i="3"/>
  <c r="E9" i="3"/>
  <c r="E10" i="3"/>
  <c r="E11" i="3"/>
  <c r="E12" i="3"/>
  <c r="E2" i="3"/>
  <c r="C3" i="3"/>
  <c r="C4" i="3"/>
  <c r="C5" i="3"/>
  <c r="C6" i="3"/>
  <c r="C7" i="3"/>
  <c r="C8" i="3"/>
  <c r="C9" i="3"/>
  <c r="C10" i="3"/>
  <c r="C11" i="3"/>
  <c r="C12" i="3"/>
  <c r="C2" i="3"/>
  <c r="D102" i="2"/>
  <c r="E102" i="2" s="1"/>
  <c r="E107" i="2"/>
  <c r="E10" i="2"/>
  <c r="E11" i="2"/>
  <c r="E12" i="2"/>
  <c r="E13" i="2"/>
  <c r="E14" i="2"/>
  <c r="E15" i="2"/>
  <c r="E16" i="2"/>
  <c r="E17" i="2"/>
  <c r="E18" i="2"/>
  <c r="E19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7" i="2"/>
  <c r="E38" i="2"/>
  <c r="E39" i="2"/>
  <c r="E40" i="2"/>
  <c r="E41" i="2"/>
  <c r="E42" i="2"/>
  <c r="E43" i="2"/>
  <c r="E44" i="2"/>
  <c r="E45" i="2"/>
  <c r="E46" i="2"/>
  <c r="E47" i="2"/>
  <c r="E49" i="2"/>
  <c r="E50" i="2"/>
  <c r="E51" i="2"/>
  <c r="E53" i="2"/>
  <c r="E55" i="2"/>
  <c r="E58" i="2"/>
  <c r="E59" i="2"/>
  <c r="E60" i="2"/>
  <c r="E66" i="2"/>
  <c r="E67" i="2"/>
  <c r="E69" i="2"/>
  <c r="E75" i="2"/>
  <c r="E76" i="2"/>
  <c r="E77" i="2"/>
  <c r="E83" i="2"/>
  <c r="E87" i="2"/>
  <c r="E88" i="2"/>
  <c r="E90" i="2"/>
  <c r="E93" i="2"/>
  <c r="E94" i="2"/>
  <c r="E97" i="2"/>
  <c r="E98" i="2"/>
  <c r="E99" i="2"/>
  <c r="E101" i="2"/>
  <c r="E103" i="2"/>
  <c r="E104" i="2"/>
  <c r="E105" i="2"/>
  <c r="E65" i="2"/>
  <c r="D63" i="2"/>
  <c r="E63" i="2" s="1"/>
  <c r="D62" i="2"/>
  <c r="E62" i="2" s="1"/>
  <c r="E57" i="2"/>
  <c r="D21" i="2"/>
  <c r="E21" i="2" s="1"/>
  <c r="E9" i="2"/>
  <c r="F8" i="3" l="1"/>
  <c r="G8" i="3" s="1"/>
  <c r="F7" i="3"/>
  <c r="G7" i="3" s="1"/>
  <c r="F6" i="3"/>
  <c r="G6" i="3" s="1"/>
  <c r="F4" i="3"/>
  <c r="G4" i="3" s="1"/>
  <c r="F3" i="3"/>
  <c r="G3" i="3" s="1"/>
  <c r="F2" i="3"/>
  <c r="G2" i="3" s="1"/>
  <c r="F11" i="3"/>
  <c r="G11" i="3" s="1"/>
  <c r="F5" i="3"/>
  <c r="G5" i="3" s="1"/>
  <c r="E108" i="2"/>
  <c r="E109" i="2" s="1"/>
  <c r="F9" i="3"/>
  <c r="G9" i="3" s="1"/>
  <c r="F10" i="3"/>
  <c r="G10" i="3" s="1"/>
  <c r="F12" i="3"/>
  <c r="G12" i="3" s="1"/>
</calcChain>
</file>

<file path=xl/sharedStrings.xml><?xml version="1.0" encoding="utf-8"?>
<sst xmlns="http://schemas.openxmlformats.org/spreadsheetml/2006/main" count="204" uniqueCount="128">
  <si>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</si>
  <si>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</si>
  <si>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</si>
  <si>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</si>
  <si>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</si>
  <si>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</si>
  <si>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sz val="16"/>
        <rFont val="Calibri"/>
        <family val="1"/>
      </rPr>
      <t>Grand Padis - Double/Twin</t>
    </r>
  </si>
  <si>
    <r>
      <rPr>
        <sz val="16"/>
        <rFont val="Calibri"/>
        <family val="1"/>
      </rPr>
      <t>Grand Padis - Extra Bed</t>
    </r>
  </si>
  <si>
    <r>
      <rPr>
        <b/>
        <u/>
        <sz val="16"/>
        <rFont val="Calibri"/>
        <family val="1"/>
      </rPr>
      <t>A2. Bromo </t>
    </r>
  </si>
  <si>
    <r>
      <rPr>
        <sz val="16"/>
        <rFont val="Calibri"/>
        <family val="1"/>
      </rPr>
      <t>Bromo Terrace - Deluxe Twin</t>
    </r>
  </si>
  <si>
    <r>
      <rPr>
        <sz val="16"/>
        <rFont val="Calibri"/>
        <family val="1"/>
      </rPr>
      <t>Bromo Terrace - Deluxe Double</t>
    </r>
  </si>
  <si>
    <r>
      <rPr>
        <sz val="16"/>
        <rFont val="Calibri"/>
        <family val="1"/>
      </rPr>
      <t>Bromo Terrace - Deluxe Double Hillview</t>
    </r>
  </si>
  <si>
    <r>
      <rPr>
        <sz val="16"/>
        <rFont val="Calibri"/>
        <family val="1"/>
      </rPr>
      <t>Bromo Terrace - Extra bed</t>
    </r>
  </si>
  <si>
    <r>
      <rPr>
        <b/>
        <u/>
        <sz val="16"/>
        <rFont val="Calibri"/>
        <family val="1"/>
      </rPr>
      <t>A3. Lumajang / Malang / Jember</t>
    </r>
  </si>
  <si>
    <r>
      <rPr>
        <sz val="16"/>
        <rFont val="Calibri"/>
        <family val="1"/>
      </rPr>
      <t>Atria Malang - Deluxe</t>
    </r>
  </si>
  <si>
    <r>
      <rPr>
        <sz val="16"/>
        <rFont val="Calibri"/>
        <family val="1"/>
      </rPr>
      <t>Atria Malang - Extra bed</t>
    </r>
  </si>
  <si>
    <t>Doho Homestay - Deluxe</t>
  </si>
  <si>
    <t>Doho Homestay - Executive</t>
  </si>
  <si>
    <r>
      <rPr>
        <sz val="16"/>
        <rFont val="Calibri"/>
        <family val="1"/>
      </rPr>
      <t>Doho Homestay - Emerald</t>
    </r>
  </si>
  <si>
    <r>
      <rPr>
        <sz val="16"/>
        <rFont val="Calibri"/>
        <family val="1"/>
      </rPr>
      <t>Doho Homestay - Platinum</t>
    </r>
  </si>
  <si>
    <r>
      <rPr>
        <sz val="16"/>
        <rFont val="Calibri"/>
        <family val="1"/>
      </rPr>
      <t>Doho Homestay - Family</t>
    </r>
  </si>
  <si>
    <r>
      <rPr>
        <sz val="16"/>
        <rFont val="Calibri"/>
        <family val="1"/>
      </rPr>
      <t>Yanto - Cottage incl. dinner</t>
    </r>
  </si>
  <si>
    <r>
      <rPr>
        <sz val="16"/>
        <rFont val="Calibri"/>
        <family val="1"/>
      </rPr>
      <t>Yanto - Deluxe Twin/Double incl. dinner</t>
    </r>
  </si>
  <si>
    <r>
      <rPr>
        <sz val="16"/>
        <rFont val="Calibri"/>
        <family val="1"/>
      </rPr>
      <t>Whiz Prime Malang - Deluxe (with breakfast)</t>
    </r>
  </si>
  <si>
    <r>
      <rPr>
        <sz val="16"/>
        <rFont val="Calibri"/>
        <family val="1"/>
      </rPr>
      <t>Whiz Prime Malang - Deluxe (without breakfast)</t>
    </r>
  </si>
  <si>
    <r>
      <rPr>
        <b/>
        <u/>
        <sz val="16"/>
        <rFont val="Calibri"/>
        <family val="1"/>
      </rPr>
      <t>A4. Surabaya</t>
    </r>
  </si>
  <si>
    <r>
      <rPr>
        <sz val="16"/>
        <rFont val="Calibri"/>
        <family val="1"/>
      </rPr>
      <t>Holiday inn - Double/Twin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</si>
  <si>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</si>
  <si>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</si>
  <si>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</si>
  <si>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</si>
  <si>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</si>
  <si>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Grand Padis - Lunch</t>
    </r>
  </si>
  <si>
    <r>
      <rPr>
        <sz val="16"/>
        <rFont val="Calibri"/>
        <family val="1"/>
      </rPr>
      <t>Grand Padis - Dinner</t>
    </r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</si>
  <si>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</si>
  <si>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</si>
  <si>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</si>
  <si>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</si>
  <si>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</si>
  <si>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r>
      <rPr>
        <b/>
        <u/>
        <sz val="16"/>
        <rFont val="Calibri"/>
        <family val="1"/>
      </rPr>
      <t>B4. Tumpak Sewu/ Kapas Biru/ Panorama/ Coban Sriti</t>
    </r>
  </si>
  <si>
    <r>
      <rPr>
        <sz val="16"/>
        <rFont val="Calibri"/>
        <family val="1"/>
      </rPr>
      <t>Tumpak Sewu - Ticket</t>
    </r>
  </si>
  <si>
    <t>No</t>
  </si>
  <si>
    <r>
      <rPr>
        <sz val="16"/>
        <rFont val="Calibri"/>
        <family val="1"/>
      </rPr>
      <t>Yanto's breakfast incl drinks</t>
    </r>
  </si>
  <si>
    <r>
      <rPr>
        <sz val="16"/>
        <rFont val="Calibri"/>
        <family val="1"/>
      </rPr>
      <t>Yanto's lunch incl drinks</t>
    </r>
  </si>
  <si>
    <r>
      <rPr>
        <sz val="16"/>
        <rFont val="Calibri"/>
        <family val="1"/>
      </rPr>
      <t>Papuma Beach</t>
    </r>
  </si>
  <si>
    <r>
      <rPr>
        <b/>
        <u/>
        <sz val="16"/>
        <rFont val="Calibri"/>
        <family val="1"/>
      </rPr>
      <t>B5. Malang</t>
    </r>
  </si>
  <si>
    <r>
      <rPr>
        <sz val="16"/>
        <rFont val="Calibri"/>
        <family val="1"/>
      </rPr>
      <t>Santerra, Goa Pinus, Taman Langit, Apple Garden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</si>
  <si>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</si>
  <si>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</si>
  <si>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</si>
  <si>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</si>
  <si>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</si>
  <si>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</si>
  <si>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</si>
  <si>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</si>
  <si>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</si>
  <si>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</si>
  <si>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</si>
  <si>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</si>
  <si>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</si>
  <si>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</si>
  <si>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</si>
  <si>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</si>
  <si>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</si>
  <si>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</si>
  <si>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</si>
  <si>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</si>
  <si>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</si>
  <si>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</si>
  <si>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</si>
  <si>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</si>
  <si>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</si>
  <si>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Kapas Biru - Parking</t>
  </si>
  <si>
    <t>Kapas Biru - Tickets</t>
  </si>
  <si>
    <t>Manis Ae Bromo - Single Cabin</t>
  </si>
  <si>
    <t>Manis Ae Bromo - Family Cabin</t>
  </si>
  <si>
    <t>Whiz Prime Malang - Superior (with breakfast)</t>
  </si>
  <si>
    <t>Whiz Prime Malang - Superior (without breakfast)</t>
  </si>
  <si>
    <t>Baratha - Superior</t>
  </si>
  <si>
    <t>Baratha - Deluxe</t>
  </si>
  <si>
    <t>Baratha - Family</t>
  </si>
  <si>
    <t>Baratha - Apartement</t>
  </si>
  <si>
    <t>Whiz Bromo - Superior</t>
  </si>
  <si>
    <t>Artha Cottage - Deluxe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</si>
  <si>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</si>
  <si>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</si>
  <si>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</si>
  <si>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</si>
  <si>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</si>
  <si>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</si>
  <si>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</si>
  <si>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</si>
  <si>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101 Malang (Without Breakfast)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</si>
  <si>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</si>
  <si>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</si>
  <si>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</si>
  <si>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</si>
  <si>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</si>
  <si>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Harris Bundaran Satelit Surabaya</t>
  </si>
  <si>
    <t>Taman Langit</t>
  </si>
  <si>
    <t>Probolinggo + Malang</t>
  </si>
  <si>
    <t>Escort Guide</t>
  </si>
  <si>
    <t>Driver Only</t>
  </si>
  <si>
    <t>Luminor Banyuwangi</t>
  </si>
  <si>
    <t>Santika Banyuwangi</t>
  </si>
  <si>
    <t>C4. Transport Bali</t>
  </si>
  <si>
    <t>Madakaripura Local Guide</t>
  </si>
  <si>
    <t>Tumpak Sewu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</si>
  <si>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</si>
  <si>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</si>
  <si>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</si>
  <si>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</si>
  <si>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</si>
  <si>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</si>
  <si>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</si>
  <si>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</si>
  <si>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</si>
  <si>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</si>
  <si>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</si>
  <si>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</si>
  <si>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1</t>
  </si>
  <si>
    <t>Expense / Pax</t>
  </si>
  <si>
    <t>Harga / Pax</t>
  </si>
  <si>
    <t>Total Harga</t>
  </si>
  <si>
    <t>Extra Luggage</t>
  </si>
  <si>
    <t>Transport Bali - Avanza</t>
  </si>
  <si>
    <t>Transport Bali - Elf</t>
  </si>
  <si>
    <t>Bali to Surabaya Expedition: Ijen, Bromo &amp; East Java’s Scenic Wonders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</si>
</sst>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7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7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64" fontId="10" fillId="7" borderId="2" xfId="1" applyNumberFormat="1" applyFont="1" applyFill="1" applyBorder="1"/>
    <xf numFmtId="164" fontId="10" fillId="7" borderId="2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1" applyNumberFormat="1" applyFont="1" applyFill="1" applyBorder="1"/>
    <xf numFmtId="164" fontId="16" fillId="8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0" applyNumberFormat="1" applyFont="1" applyFill="1" applyBorder="1"/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4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N109"/>
  <sheetViews>
    <sheetView topLeftCell="A80" zoomScale="70" zoomScaleNormal="70" workbookViewId="0">
      <selection activeCell="A90" sqref="A90:XFD92"/>
    </sheetView>
  </sheetViews>
  <sheetFormatPr baseColWidth="10" defaultColWidth="9" defaultRowHeight="13" x14ac:dyDescent="0.15"/>
  <cols>
    <col min="1" max="1" width="96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7" max="7" width="10" bestFit="1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14" ht="25.5" customHeight="1" x14ac:dyDescent="0.15">
      <c r="A1" s="2" t="s">
        <v>109</v>
      </c>
      <c r="B1" s="2" t="s">
        <v>110</v>
      </c>
      <c r="C1" s="2" t="s">
        <v>111</v>
      </c>
      <c r="D1" s="2" t="s">
        <v>112</v>
      </c>
    </row>
    <row r="2" spans="1:14" ht="27.75" customHeight="1" x14ac:dyDescent="0.15">
      <c r="A2" s="3" t="s">
        <v>127</v>
      </c>
      <c r="B2" s="3">
        <v>55</v>
      </c>
      <c r="C2" s="3">
        <v>5</v>
      </c>
      <c r="D2" s="46">
        <v>11</v>
      </c>
    </row>
    <row r="3" spans="1:14" ht="27.75" customHeight="1" x14ac:dyDescent="0.15">
      <c r="A3" s="4"/>
      <c r="B3" s="4"/>
      <c r="C3" s="4"/>
    </row>
    <row r="4" spans="1:14" ht="35.25" customHeight="1" x14ac:dyDescent="0.15">
      <c r="A4" s="5" t="s">
        <v>0</v>
      </c>
      <c r="B4" s="5" t="s">
        <v>1</v>
      </c>
      <c r="C4" s="5" t="s">
        <v>2</v>
      </c>
      <c r="D4" s="5" t="s">
        <v>113</v>
      </c>
      <c r="E4" s="5" t="s">
        <v>114</v>
      </c>
    </row>
    <row r="5" spans="1:14" ht="22.5" customHeight="1" x14ac:dyDescent="0.2">
      <c r="A5" s="6" t="s">
        <v>3</v>
      </c>
      <c r="B5" s="7"/>
      <c r="C5" s="7"/>
      <c r="D5" s="8"/>
      <c r="E5" s="8"/>
    </row>
    <row r="6" spans="1:14" ht="22.5" customHeight="1" x14ac:dyDescent="0.2">
      <c r="A6" s="9" t="s">
        <v>4</v>
      </c>
      <c r="B6" s="7"/>
      <c r="C6" s="7"/>
      <c r="D6" s="8"/>
      <c r="E6" s="8"/>
    </row>
    <row r="7" spans="1:14" ht="22.5" customHeight="1" x14ac:dyDescent="0.15">
      <c r="A7" s="10" t="s">
        <v>103</v>
      </c>
      <c r="B7" s="11" t="s">
        <v>5</v>
      </c>
      <c r="C7" s="42">
        <v>500000</v>
      </c>
      <c r="D7" s="12">
        <f>ROUNDUP($D$2/2,0)</f>
        <v>6</v>
      </c>
      <c r="E7" s="42">
        <f t="shared" ref="E7:E8" si="0">C7*D7</f>
        <v>3000000</v>
      </c>
    </row>
    <row r="8" spans="1:14" ht="22.5" hidden="1" customHeight="1" x14ac:dyDescent="0.15">
      <c r="A8" s="10" t="s">
        <v>104</v>
      </c>
      <c r="B8" s="11" t="s">
        <v>5</v>
      </c>
      <c r="C8" s="42">
        <v>560000</v>
      </c>
      <c r="D8" s="12"/>
      <c r="E8" s="42">
        <f t="shared" si="0"/>
        <v>0</v>
      </c>
    </row>
    <row r="9" spans="1:14" ht="22.5" hidden="1" customHeight="1" x14ac:dyDescent="0.15">
      <c r="A9" s="13" t="s">
        <v>6</v>
      </c>
      <c r="B9" s="11" t="s">
        <v>5</v>
      </c>
      <c r="C9" s="42">
        <v>435000</v>
      </c>
      <c r="D9" s="12"/>
      <c r="E9" s="42">
        <f>C9*D9</f>
        <v>0</v>
      </c>
    </row>
    <row r="10" spans="1:14" ht="22.5" hidden="1" customHeight="1" x14ac:dyDescent="0.15">
      <c r="A10" s="13" t="s">
        <v>7</v>
      </c>
      <c r="B10" s="11" t="s">
        <v>5</v>
      </c>
      <c r="C10" s="42">
        <v>300000</v>
      </c>
      <c r="D10" s="12"/>
      <c r="E10" s="42">
        <f t="shared" ref="E10:E73" si="1">C10*D10</f>
        <v>0</v>
      </c>
    </row>
    <row r="11" spans="1:14" ht="22.5" hidden="1" customHeight="1" x14ac:dyDescent="0.15">
      <c r="A11" s="10" t="s">
        <v>78</v>
      </c>
      <c r="B11" s="11" t="s">
        <v>5</v>
      </c>
      <c r="C11" s="42">
        <v>250000</v>
      </c>
      <c r="D11" s="12"/>
      <c r="E11" s="42">
        <f t="shared" si="1"/>
        <v>0</v>
      </c>
    </row>
    <row r="12" spans="1:14" ht="22.5" hidden="1" customHeight="1" x14ac:dyDescent="0.15">
      <c r="A12" s="10" t="s">
        <v>79</v>
      </c>
      <c r="B12" s="11" t="s">
        <v>5</v>
      </c>
      <c r="C12" s="42">
        <v>275000</v>
      </c>
      <c r="D12" s="12"/>
      <c r="E12" s="42">
        <f t="shared" si="1"/>
        <v>0</v>
      </c>
    </row>
    <row r="13" spans="1:14" ht="22.5" hidden="1" customHeight="1" x14ac:dyDescent="0.15">
      <c r="A13" s="10" t="s">
        <v>80</v>
      </c>
      <c r="B13" s="11" t="s">
        <v>5</v>
      </c>
      <c r="C13" s="42">
        <v>450000</v>
      </c>
      <c r="D13" s="12"/>
      <c r="E13" s="42">
        <f t="shared" si="1"/>
        <v>0</v>
      </c>
    </row>
    <row r="14" spans="1:14" ht="22.5" hidden="1" customHeight="1" x14ac:dyDescent="0.15">
      <c r="A14" s="10" t="s">
        <v>81</v>
      </c>
      <c r="B14" s="11" t="s">
        <v>5</v>
      </c>
      <c r="C14" s="42">
        <v>450000</v>
      </c>
      <c r="D14" s="12"/>
      <c r="E14" s="42">
        <f t="shared" si="1"/>
        <v>0</v>
      </c>
    </row>
    <row r="15" spans="1:14" ht="22.5" hidden="1" customHeight="1" x14ac:dyDescent="0.15">
      <c r="A15" s="10" t="s">
        <v>93</v>
      </c>
      <c r="B15" s="11" t="s">
        <v>5</v>
      </c>
      <c r="C15" s="42">
        <v>337500</v>
      </c>
      <c r="D15" s="12"/>
      <c r="E15" s="42">
        <f t="shared" si="1"/>
        <v>0</v>
      </c>
    </row>
    <row r="16" spans="1:14" ht="22.5" hidden="1" customHeight="1" x14ac:dyDescent="0.2">
      <c r="A16" s="10" t="s">
        <v>95</v>
      </c>
      <c r="B16" s="11" t="s">
        <v>5</v>
      </c>
      <c r="C16" s="42">
        <v>375000</v>
      </c>
      <c r="D16" s="12"/>
      <c r="E16" s="42">
        <f t="shared" si="1"/>
        <v>0</v>
      </c>
      <c r="H16" s="39"/>
      <c r="I16" s="40"/>
      <c r="J16" s="40"/>
      <c r="K16" s="41"/>
      <c r="L16" s="41"/>
      <c r="M16" s="41"/>
      <c r="N16" s="41"/>
    </row>
    <row r="17" spans="1:14" ht="22.5" hidden="1" customHeight="1" x14ac:dyDescent="0.2">
      <c r="A17" s="10" t="s">
        <v>94</v>
      </c>
      <c r="B17" s="11" t="s">
        <v>5</v>
      </c>
      <c r="C17" s="42">
        <v>412500</v>
      </c>
      <c r="D17" s="12"/>
      <c r="E17" s="42">
        <f t="shared" si="1"/>
        <v>0</v>
      </c>
      <c r="H17" s="39"/>
      <c r="I17" s="40"/>
      <c r="J17" s="40"/>
      <c r="K17" s="41"/>
      <c r="L17" s="41"/>
      <c r="M17" s="41"/>
      <c r="N17" s="41"/>
    </row>
    <row r="18" spans="1:14" ht="22.5" hidden="1" customHeight="1" x14ac:dyDescent="0.2">
      <c r="A18" s="10" t="s">
        <v>96</v>
      </c>
      <c r="B18" s="11" t="s">
        <v>5</v>
      </c>
      <c r="C18" s="42">
        <v>487500</v>
      </c>
      <c r="D18" s="12"/>
      <c r="E18" s="42">
        <f t="shared" si="1"/>
        <v>0</v>
      </c>
      <c r="H18" s="39"/>
      <c r="I18" s="40"/>
      <c r="J18" s="40"/>
      <c r="K18" s="41"/>
      <c r="L18" s="41"/>
      <c r="M18" s="41"/>
      <c r="N18" s="41"/>
    </row>
    <row r="19" spans="1:14" ht="22.5" hidden="1" customHeight="1" x14ac:dyDescent="0.2">
      <c r="A19" s="10" t="s">
        <v>97</v>
      </c>
      <c r="B19" s="11" t="s">
        <v>5</v>
      </c>
      <c r="C19" s="42">
        <v>562500</v>
      </c>
      <c r="D19" s="12"/>
      <c r="E19" s="42">
        <f t="shared" si="1"/>
        <v>0</v>
      </c>
      <c r="H19" s="39"/>
      <c r="I19" s="40"/>
      <c r="J19" s="40"/>
      <c r="K19" s="41"/>
      <c r="L19" s="41"/>
      <c r="M19" s="41"/>
      <c r="N19" s="41"/>
    </row>
    <row r="20" spans="1:14" ht="22.5" customHeight="1" x14ac:dyDescent="0.2">
      <c r="A20" s="9" t="s">
        <v>8</v>
      </c>
      <c r="B20" s="7"/>
      <c r="C20" s="43"/>
      <c r="D20" s="12"/>
      <c r="E20" s="42"/>
    </row>
    <row r="21" spans="1:14" ht="22.5" customHeight="1" x14ac:dyDescent="0.15">
      <c r="A21" s="10" t="s">
        <v>89</v>
      </c>
      <c r="B21" s="11" t="s">
        <v>5</v>
      </c>
      <c r="C21" s="42">
        <v>750000</v>
      </c>
      <c r="D21" s="12">
        <f>ROUNDUP(D2/2,0)</f>
        <v>6</v>
      </c>
      <c r="E21" s="42">
        <f t="shared" si="1"/>
        <v>4500000</v>
      </c>
    </row>
    <row r="22" spans="1:14" ht="22.5" hidden="1" customHeight="1" x14ac:dyDescent="0.15">
      <c r="A22" s="10" t="s">
        <v>90</v>
      </c>
      <c r="B22" s="11" t="s">
        <v>5</v>
      </c>
      <c r="C22" s="42">
        <v>950000</v>
      </c>
      <c r="D22" s="12"/>
      <c r="E22" s="42">
        <f t="shared" si="1"/>
        <v>0</v>
      </c>
    </row>
    <row r="23" spans="1:14" ht="22.5" hidden="1" customHeight="1" x14ac:dyDescent="0.15">
      <c r="A23" s="10" t="s">
        <v>91</v>
      </c>
      <c r="B23" s="11" t="s">
        <v>5</v>
      </c>
      <c r="C23" s="42">
        <v>300000</v>
      </c>
      <c r="D23" s="12"/>
      <c r="E23" s="42">
        <f t="shared" si="1"/>
        <v>0</v>
      </c>
    </row>
    <row r="24" spans="1:14" ht="22.5" hidden="1" customHeight="1" x14ac:dyDescent="0.15">
      <c r="A24" s="13" t="s">
        <v>9</v>
      </c>
      <c r="B24" s="11" t="s">
        <v>5</v>
      </c>
      <c r="C24" s="42">
        <v>1250000</v>
      </c>
      <c r="D24" s="12"/>
      <c r="E24" s="42">
        <f t="shared" si="1"/>
        <v>0</v>
      </c>
    </row>
    <row r="25" spans="1:14" ht="22.5" hidden="1" customHeight="1" x14ac:dyDescent="0.15">
      <c r="A25" s="13" t="s">
        <v>10</v>
      </c>
      <c r="B25" s="11" t="s">
        <v>5</v>
      </c>
      <c r="C25" s="42">
        <v>1200000</v>
      </c>
      <c r="D25" s="12"/>
      <c r="E25" s="42">
        <f t="shared" si="1"/>
        <v>0</v>
      </c>
    </row>
    <row r="26" spans="1:14" ht="22.5" hidden="1" customHeight="1" x14ac:dyDescent="0.15">
      <c r="A26" s="13" t="s">
        <v>11</v>
      </c>
      <c r="B26" s="11" t="s">
        <v>5</v>
      </c>
      <c r="C26" s="42">
        <v>1350000</v>
      </c>
      <c r="D26" s="12"/>
      <c r="E26" s="42">
        <f t="shared" si="1"/>
        <v>0</v>
      </c>
    </row>
    <row r="27" spans="1:14" ht="22.5" hidden="1" customHeight="1" x14ac:dyDescent="0.15">
      <c r="A27" s="13" t="s">
        <v>12</v>
      </c>
      <c r="B27" s="11" t="s">
        <v>5</v>
      </c>
      <c r="C27" s="42">
        <v>300000</v>
      </c>
      <c r="D27" s="12"/>
      <c r="E27" s="42">
        <f t="shared" si="1"/>
        <v>0</v>
      </c>
    </row>
    <row r="28" spans="1:14" ht="22.5" hidden="1" customHeight="1" x14ac:dyDescent="0.15">
      <c r="A28" s="10" t="s">
        <v>74</v>
      </c>
      <c r="B28" s="11" t="s">
        <v>5</v>
      </c>
      <c r="C28" s="42">
        <v>1220000</v>
      </c>
      <c r="D28" s="12"/>
      <c r="E28" s="42">
        <f t="shared" si="1"/>
        <v>0</v>
      </c>
    </row>
    <row r="29" spans="1:14" ht="22.5" hidden="1" customHeight="1" x14ac:dyDescent="0.15">
      <c r="A29" s="10" t="s">
        <v>75</v>
      </c>
      <c r="B29" s="11" t="s">
        <v>5</v>
      </c>
      <c r="C29" s="42">
        <v>1620000</v>
      </c>
      <c r="D29" s="12"/>
      <c r="E29" s="42">
        <f t="shared" si="1"/>
        <v>0</v>
      </c>
    </row>
    <row r="30" spans="1:14" ht="22.5" hidden="1" customHeight="1" x14ac:dyDescent="0.15">
      <c r="A30" s="10" t="s">
        <v>82</v>
      </c>
      <c r="B30" s="11" t="s">
        <v>5</v>
      </c>
      <c r="C30" s="42">
        <v>550000</v>
      </c>
      <c r="D30" s="12"/>
      <c r="E30" s="42">
        <f t="shared" si="1"/>
        <v>0</v>
      </c>
    </row>
    <row r="31" spans="1:14" ht="22.5" customHeight="1" x14ac:dyDescent="0.2">
      <c r="A31" s="9" t="s">
        <v>13</v>
      </c>
      <c r="B31" s="7"/>
      <c r="C31" s="43"/>
      <c r="D31" s="12"/>
      <c r="E31" s="42">
        <f t="shared" si="1"/>
        <v>0</v>
      </c>
    </row>
    <row r="32" spans="1:14" ht="22.5" hidden="1" customHeight="1" x14ac:dyDescent="0.15">
      <c r="A32" s="13" t="s">
        <v>14</v>
      </c>
      <c r="B32" s="11" t="s">
        <v>5</v>
      </c>
      <c r="C32" s="42">
        <v>610000</v>
      </c>
      <c r="D32" s="12"/>
      <c r="E32" s="42">
        <f t="shared" si="1"/>
        <v>0</v>
      </c>
    </row>
    <row r="33" spans="1:5" ht="22.5" hidden="1" customHeight="1" x14ac:dyDescent="0.15">
      <c r="A33" s="13" t="s">
        <v>15</v>
      </c>
      <c r="B33" s="11" t="s">
        <v>5</v>
      </c>
      <c r="C33" s="42">
        <v>350000</v>
      </c>
      <c r="D33" s="12"/>
      <c r="E33" s="42">
        <f t="shared" si="1"/>
        <v>0</v>
      </c>
    </row>
    <row r="34" spans="1:5" ht="22.5" hidden="1" customHeight="1" x14ac:dyDescent="0.15">
      <c r="A34" s="10" t="s">
        <v>92</v>
      </c>
      <c r="B34" s="11" t="s">
        <v>5</v>
      </c>
      <c r="C34" s="42">
        <v>600000</v>
      </c>
      <c r="D34" s="12"/>
      <c r="E34" s="42">
        <f t="shared" si="1"/>
        <v>0</v>
      </c>
    </row>
    <row r="35" spans="1:5" ht="22.5" hidden="1" customHeight="1" x14ac:dyDescent="0.15">
      <c r="A35" s="10" t="s">
        <v>83</v>
      </c>
      <c r="B35" s="11" t="s">
        <v>5</v>
      </c>
      <c r="C35" s="42">
        <v>425000</v>
      </c>
      <c r="D35" s="12"/>
      <c r="E35" s="42">
        <f t="shared" si="1"/>
        <v>0</v>
      </c>
    </row>
    <row r="36" spans="1:5" ht="22.5" customHeight="1" x14ac:dyDescent="0.15">
      <c r="A36" s="10" t="s">
        <v>16</v>
      </c>
      <c r="B36" s="11" t="s">
        <v>5</v>
      </c>
      <c r="C36" s="42">
        <v>260000</v>
      </c>
      <c r="D36" s="12">
        <f>ROUNDUP($D$2/2,0)</f>
        <v>6</v>
      </c>
      <c r="E36" s="42">
        <f t="shared" si="1"/>
        <v>1560000</v>
      </c>
    </row>
    <row r="37" spans="1:5" ht="22.5" hidden="1" customHeight="1" x14ac:dyDescent="0.15">
      <c r="A37" s="10" t="s">
        <v>17</v>
      </c>
      <c r="B37" s="11" t="s">
        <v>5</v>
      </c>
      <c r="C37" s="42">
        <v>300000</v>
      </c>
      <c r="D37" s="12"/>
      <c r="E37" s="42">
        <f t="shared" si="1"/>
        <v>0</v>
      </c>
    </row>
    <row r="38" spans="1:5" ht="22.5" hidden="1" customHeight="1" x14ac:dyDescent="0.15">
      <c r="A38" s="13" t="s">
        <v>18</v>
      </c>
      <c r="B38" s="11" t="s">
        <v>5</v>
      </c>
      <c r="C38" s="42">
        <v>316000</v>
      </c>
      <c r="D38" s="12"/>
      <c r="E38" s="42">
        <f t="shared" si="1"/>
        <v>0</v>
      </c>
    </row>
    <row r="39" spans="1:5" ht="22.5" hidden="1" customHeight="1" x14ac:dyDescent="0.15">
      <c r="A39" s="13" t="s">
        <v>19</v>
      </c>
      <c r="B39" s="11" t="s">
        <v>5</v>
      </c>
      <c r="C39" s="42">
        <v>380000</v>
      </c>
      <c r="D39" s="12"/>
      <c r="E39" s="42">
        <f t="shared" si="1"/>
        <v>0</v>
      </c>
    </row>
    <row r="40" spans="1:5" ht="22.5" hidden="1" customHeight="1" x14ac:dyDescent="0.15">
      <c r="A40" s="13" t="s">
        <v>20</v>
      </c>
      <c r="B40" s="11" t="s">
        <v>5</v>
      </c>
      <c r="C40" s="42">
        <v>440000</v>
      </c>
      <c r="D40" s="12"/>
      <c r="E40" s="42">
        <f t="shared" si="1"/>
        <v>0</v>
      </c>
    </row>
    <row r="41" spans="1:5" ht="22.5" hidden="1" customHeight="1" x14ac:dyDescent="0.15">
      <c r="A41" s="13" t="s">
        <v>21</v>
      </c>
      <c r="B41" s="11" t="s">
        <v>5</v>
      </c>
      <c r="C41" s="42">
        <v>450000</v>
      </c>
      <c r="D41" s="12"/>
      <c r="E41" s="42">
        <f t="shared" si="1"/>
        <v>0</v>
      </c>
    </row>
    <row r="42" spans="1:5" ht="22.5" hidden="1" customHeight="1" x14ac:dyDescent="0.15">
      <c r="A42" s="13" t="s">
        <v>22</v>
      </c>
      <c r="B42" s="11" t="s">
        <v>5</v>
      </c>
      <c r="C42" s="42">
        <v>350000</v>
      </c>
      <c r="D42" s="12"/>
      <c r="E42" s="42">
        <f t="shared" si="1"/>
        <v>0</v>
      </c>
    </row>
    <row r="43" spans="1:5" ht="22.5" hidden="1" customHeight="1" x14ac:dyDescent="0.15">
      <c r="A43" s="13" t="s">
        <v>23</v>
      </c>
      <c r="B43" s="11" t="s">
        <v>5</v>
      </c>
      <c r="C43" s="42">
        <v>540000</v>
      </c>
      <c r="D43" s="12"/>
      <c r="E43" s="42">
        <f t="shared" si="1"/>
        <v>0</v>
      </c>
    </row>
    <row r="44" spans="1:5" ht="22.5" hidden="1" customHeight="1" x14ac:dyDescent="0.15">
      <c r="A44" s="13" t="s">
        <v>24</v>
      </c>
      <c r="B44" s="11" t="s">
        <v>5</v>
      </c>
      <c r="C44" s="42">
        <v>490000</v>
      </c>
      <c r="D44" s="12"/>
      <c r="E44" s="42">
        <f t="shared" si="1"/>
        <v>0</v>
      </c>
    </row>
    <row r="45" spans="1:5" ht="22.5" hidden="1" customHeight="1" x14ac:dyDescent="0.15">
      <c r="A45" s="10" t="s">
        <v>76</v>
      </c>
      <c r="B45" s="11" t="s">
        <v>5</v>
      </c>
      <c r="C45" s="42">
        <v>440000</v>
      </c>
      <c r="D45" s="12"/>
      <c r="E45" s="42">
        <f t="shared" si="1"/>
        <v>0</v>
      </c>
    </row>
    <row r="46" spans="1:5" ht="22.5" hidden="1" customHeight="1" x14ac:dyDescent="0.15">
      <c r="A46" s="10" t="s">
        <v>77</v>
      </c>
      <c r="B46" s="11" t="s">
        <v>5</v>
      </c>
      <c r="C46" s="42">
        <v>390000</v>
      </c>
      <c r="D46" s="12"/>
      <c r="E46" s="42">
        <f t="shared" si="1"/>
        <v>0</v>
      </c>
    </row>
    <row r="47" spans="1:5" ht="22.5" customHeight="1" x14ac:dyDescent="0.2">
      <c r="A47" s="9" t="s">
        <v>25</v>
      </c>
      <c r="B47" s="7"/>
      <c r="C47" s="43"/>
      <c r="D47" s="12"/>
      <c r="E47" s="42">
        <f t="shared" si="1"/>
        <v>0</v>
      </c>
    </row>
    <row r="48" spans="1:5" ht="22.5" customHeight="1" x14ac:dyDescent="0.15">
      <c r="A48" s="13" t="s">
        <v>26</v>
      </c>
      <c r="B48" s="11" t="s">
        <v>5</v>
      </c>
      <c r="C48" s="42">
        <v>495000</v>
      </c>
      <c r="D48" s="12">
        <f>ROUNDUP($D$2/2,0)</f>
        <v>6</v>
      </c>
      <c r="E48" s="42">
        <f t="shared" si="1"/>
        <v>2970000</v>
      </c>
    </row>
    <row r="49" spans="1:5" ht="22.5" hidden="1" customHeight="1" x14ac:dyDescent="0.15">
      <c r="A49" s="10" t="s">
        <v>98</v>
      </c>
      <c r="B49" s="11" t="s">
        <v>5</v>
      </c>
      <c r="C49" s="42">
        <v>680000</v>
      </c>
      <c r="D49" s="12"/>
      <c r="E49" s="42">
        <f t="shared" si="1"/>
        <v>0</v>
      </c>
    </row>
    <row r="50" spans="1:5" ht="22.5" customHeight="1" x14ac:dyDescent="0.2">
      <c r="A50" s="6" t="s">
        <v>27</v>
      </c>
      <c r="B50" s="7"/>
      <c r="C50" s="43"/>
      <c r="D50" s="12"/>
      <c r="E50" s="42">
        <f t="shared" si="1"/>
        <v>0</v>
      </c>
    </row>
    <row r="51" spans="1:5" ht="22.5" customHeight="1" x14ac:dyDescent="0.2">
      <c r="A51" s="9" t="s">
        <v>28</v>
      </c>
      <c r="B51" s="7"/>
      <c r="C51" s="43"/>
      <c r="D51" s="12"/>
      <c r="E51" s="42">
        <f t="shared" si="1"/>
        <v>0</v>
      </c>
    </row>
    <row r="52" spans="1:5" ht="22.5" customHeight="1" x14ac:dyDescent="0.15">
      <c r="A52" s="10" t="s">
        <v>87</v>
      </c>
      <c r="B52" s="11" t="s">
        <v>29</v>
      </c>
      <c r="C52" s="42">
        <v>75000</v>
      </c>
      <c r="D52" s="12">
        <f>$D$2</f>
        <v>11</v>
      </c>
      <c r="E52" s="42">
        <f t="shared" si="1"/>
        <v>825000</v>
      </c>
    </row>
    <row r="53" spans="1:5" ht="22.5" hidden="1" customHeight="1" x14ac:dyDescent="0.15">
      <c r="A53" s="13" t="s">
        <v>30</v>
      </c>
      <c r="B53" s="11" t="s">
        <v>29</v>
      </c>
      <c r="C53" s="42">
        <v>55000</v>
      </c>
      <c r="D53" s="12"/>
      <c r="E53" s="42">
        <f t="shared" si="1"/>
        <v>0</v>
      </c>
    </row>
    <row r="54" spans="1:5" ht="22.5" customHeight="1" x14ac:dyDescent="0.15">
      <c r="A54" s="10" t="s">
        <v>31</v>
      </c>
      <c r="B54" s="11" t="s">
        <v>29</v>
      </c>
      <c r="C54" s="42">
        <v>25000</v>
      </c>
      <c r="D54" s="12">
        <f>$D$2</f>
        <v>11</v>
      </c>
      <c r="E54" s="42">
        <f t="shared" si="1"/>
        <v>275000</v>
      </c>
    </row>
    <row r="55" spans="1:5" ht="22.5" customHeight="1" x14ac:dyDescent="0.15">
      <c r="A55" s="10" t="s">
        <v>108</v>
      </c>
      <c r="B55" s="11" t="s">
        <v>5</v>
      </c>
      <c r="C55" s="42">
        <v>250000</v>
      </c>
      <c r="D55" s="12">
        <v>1</v>
      </c>
      <c r="E55" s="42">
        <f t="shared" si="1"/>
        <v>250000</v>
      </c>
    </row>
    <row r="56" spans="1:5" ht="22.5" customHeight="1" x14ac:dyDescent="0.15">
      <c r="A56" s="13" t="s">
        <v>32</v>
      </c>
      <c r="B56" s="11" t="s">
        <v>29</v>
      </c>
      <c r="C56" s="42">
        <v>75000</v>
      </c>
      <c r="D56" s="12">
        <f>$D$2</f>
        <v>11</v>
      </c>
      <c r="E56" s="42">
        <f t="shared" si="1"/>
        <v>825000</v>
      </c>
    </row>
    <row r="57" spans="1:5" ht="22.5" hidden="1" customHeight="1" x14ac:dyDescent="0.15">
      <c r="A57" s="13" t="s">
        <v>33</v>
      </c>
      <c r="B57" s="11" t="s">
        <v>29</v>
      </c>
      <c r="C57" s="42">
        <v>75000</v>
      </c>
      <c r="D57" s="12"/>
      <c r="E57" s="42">
        <f t="shared" si="1"/>
        <v>0</v>
      </c>
    </row>
    <row r="58" spans="1:5" ht="22.5" hidden="1" customHeight="1" x14ac:dyDescent="0.15">
      <c r="A58" s="10" t="s">
        <v>84</v>
      </c>
      <c r="B58" s="11" t="s">
        <v>29</v>
      </c>
      <c r="C58" s="42">
        <v>60000</v>
      </c>
      <c r="D58" s="12"/>
      <c r="E58" s="42">
        <f t="shared" si="1"/>
        <v>0</v>
      </c>
    </row>
    <row r="59" spans="1:5" ht="22.5" hidden="1" customHeight="1" x14ac:dyDescent="0.15">
      <c r="A59" s="10" t="s">
        <v>85</v>
      </c>
      <c r="B59" s="11" t="s">
        <v>29</v>
      </c>
      <c r="C59" s="42">
        <v>60000</v>
      </c>
      <c r="D59" s="12"/>
      <c r="E59" s="42">
        <f t="shared" si="1"/>
        <v>0</v>
      </c>
    </row>
    <row r="60" spans="1:5" ht="22.5" hidden="1" customHeight="1" x14ac:dyDescent="0.15">
      <c r="A60" s="13" t="s">
        <v>34</v>
      </c>
      <c r="B60" s="11" t="s">
        <v>5</v>
      </c>
      <c r="C60" s="42">
        <v>35000</v>
      </c>
      <c r="D60" s="12"/>
      <c r="E60" s="42">
        <f t="shared" si="1"/>
        <v>0</v>
      </c>
    </row>
    <row r="61" spans="1:5" ht="22.5" customHeight="1" x14ac:dyDescent="0.2">
      <c r="A61" s="9" t="s">
        <v>35</v>
      </c>
      <c r="B61" s="7"/>
      <c r="C61" s="44"/>
      <c r="D61" s="12"/>
      <c r="E61" s="42"/>
    </row>
    <row r="62" spans="1:5" ht="22.5" customHeight="1" x14ac:dyDescent="0.15">
      <c r="A62" s="10" t="s">
        <v>86</v>
      </c>
      <c r="B62" s="11" t="s">
        <v>29</v>
      </c>
      <c r="C62" s="42">
        <v>150000</v>
      </c>
      <c r="D62" s="12">
        <f>D2</f>
        <v>11</v>
      </c>
      <c r="E62" s="42">
        <f t="shared" si="1"/>
        <v>1650000</v>
      </c>
    </row>
    <row r="63" spans="1:5" ht="22.5" customHeight="1" x14ac:dyDescent="0.15">
      <c r="A63" s="13" t="s">
        <v>36</v>
      </c>
      <c r="B63" s="11" t="s">
        <v>29</v>
      </c>
      <c r="C63" s="42">
        <v>500000</v>
      </c>
      <c r="D63" s="12">
        <f>ROUNDUP(D2/4,0)</f>
        <v>3</v>
      </c>
      <c r="E63" s="42">
        <f t="shared" si="1"/>
        <v>1500000</v>
      </c>
    </row>
    <row r="64" spans="1:5" ht="22.5" hidden="1" customHeight="1" x14ac:dyDescent="0.2">
      <c r="A64" s="15" t="s">
        <v>37</v>
      </c>
      <c r="B64" s="7"/>
      <c r="C64" s="44"/>
      <c r="D64" s="12"/>
      <c r="E64" s="42"/>
    </row>
    <row r="65" spans="1:5" ht="22.5" hidden="1" customHeight="1" x14ac:dyDescent="0.15">
      <c r="A65" s="13" t="s">
        <v>38</v>
      </c>
      <c r="B65" s="11" t="s">
        <v>29</v>
      </c>
      <c r="C65" s="42">
        <v>90000</v>
      </c>
      <c r="D65" s="12"/>
      <c r="E65" s="42">
        <f t="shared" si="1"/>
        <v>0</v>
      </c>
    </row>
    <row r="66" spans="1:5" ht="22.5" hidden="1" customHeight="1" x14ac:dyDescent="0.15">
      <c r="A66" s="10" t="s">
        <v>106</v>
      </c>
      <c r="B66" s="11" t="s">
        <v>5</v>
      </c>
      <c r="C66" s="42">
        <v>100000</v>
      </c>
      <c r="D66" s="12"/>
      <c r="E66" s="42">
        <f t="shared" si="1"/>
        <v>0</v>
      </c>
    </row>
    <row r="67" spans="1:5" ht="22.5" customHeight="1" x14ac:dyDescent="0.2">
      <c r="A67" s="9" t="s">
        <v>39</v>
      </c>
      <c r="B67" s="7"/>
      <c r="C67" s="44"/>
      <c r="D67" s="12"/>
      <c r="E67" s="42">
        <f t="shared" si="1"/>
        <v>0</v>
      </c>
    </row>
    <row r="68" spans="1:5" ht="22.5" customHeight="1" x14ac:dyDescent="0.15">
      <c r="A68" s="13" t="s">
        <v>40</v>
      </c>
      <c r="B68" s="11" t="s">
        <v>29</v>
      </c>
      <c r="C68" s="42">
        <v>120000</v>
      </c>
      <c r="D68" s="12">
        <f>D2</f>
        <v>11</v>
      </c>
      <c r="E68" s="42">
        <f t="shared" si="1"/>
        <v>1320000</v>
      </c>
    </row>
    <row r="69" spans="1:5" ht="22.5" customHeight="1" x14ac:dyDescent="0.15">
      <c r="A69" s="10" t="s">
        <v>107</v>
      </c>
      <c r="B69" s="11" t="s">
        <v>5</v>
      </c>
      <c r="C69" s="42">
        <v>200000</v>
      </c>
      <c r="D69" s="12">
        <v>1</v>
      </c>
      <c r="E69" s="42">
        <f t="shared" si="1"/>
        <v>200000</v>
      </c>
    </row>
    <row r="70" spans="1:5" ht="22.5" hidden="1" customHeight="1" x14ac:dyDescent="0.15">
      <c r="A70" s="13" t="s">
        <v>72</v>
      </c>
      <c r="B70" s="11" t="s">
        <v>5</v>
      </c>
      <c r="C70" s="42">
        <v>10000</v>
      </c>
      <c r="D70" s="12"/>
      <c r="E70" s="42">
        <f t="shared" si="1"/>
        <v>0</v>
      </c>
    </row>
    <row r="71" spans="1:5" ht="22.5" hidden="1" customHeight="1" x14ac:dyDescent="0.15">
      <c r="A71" s="13" t="s">
        <v>73</v>
      </c>
      <c r="B71" s="11" t="s">
        <v>41</v>
      </c>
      <c r="C71" s="42">
        <v>10000</v>
      </c>
      <c r="D71" s="12"/>
      <c r="E71" s="42">
        <f t="shared" si="1"/>
        <v>0</v>
      </c>
    </row>
    <row r="72" spans="1:5" ht="22.5" hidden="1" customHeight="1" x14ac:dyDescent="0.15">
      <c r="A72" s="13" t="s">
        <v>42</v>
      </c>
      <c r="B72" s="11" t="s">
        <v>29</v>
      </c>
      <c r="C72" s="42">
        <v>50000</v>
      </c>
      <c r="D72" s="12"/>
      <c r="E72" s="42">
        <f t="shared" si="1"/>
        <v>0</v>
      </c>
    </row>
    <row r="73" spans="1:5" ht="22.5" customHeight="1" x14ac:dyDescent="0.15">
      <c r="A73" s="13" t="s">
        <v>43</v>
      </c>
      <c r="B73" s="11" t="s">
        <v>29</v>
      </c>
      <c r="C73" s="42">
        <v>50000</v>
      </c>
      <c r="D73" s="12">
        <f>D2</f>
        <v>11</v>
      </c>
      <c r="E73" s="42">
        <f t="shared" si="1"/>
        <v>550000</v>
      </c>
    </row>
    <row r="74" spans="1:5" ht="22.5" customHeight="1" x14ac:dyDescent="0.15">
      <c r="A74" s="13" t="s">
        <v>44</v>
      </c>
      <c r="B74" s="11" t="s">
        <v>29</v>
      </c>
      <c r="C74" s="42">
        <v>40000</v>
      </c>
      <c r="D74" s="12">
        <f>$D$2</f>
        <v>11</v>
      </c>
      <c r="E74" s="42">
        <f t="shared" ref="E74:E106" si="2">C74*D74</f>
        <v>440000</v>
      </c>
    </row>
    <row r="75" spans="1:5" ht="22.5" hidden="1" customHeight="1" x14ac:dyDescent="0.2">
      <c r="A75" s="9" t="s">
        <v>45</v>
      </c>
      <c r="B75" s="7"/>
      <c r="C75" s="44"/>
      <c r="D75" s="12"/>
      <c r="E75" s="42">
        <f t="shared" si="2"/>
        <v>0</v>
      </c>
    </row>
    <row r="76" spans="1:5" ht="22.5" hidden="1" customHeight="1" x14ac:dyDescent="0.15">
      <c r="A76" s="13" t="s">
        <v>46</v>
      </c>
      <c r="B76" s="11" t="s">
        <v>29</v>
      </c>
      <c r="C76" s="42">
        <v>150000</v>
      </c>
      <c r="D76" s="12"/>
      <c r="E76" s="42">
        <f t="shared" si="2"/>
        <v>0</v>
      </c>
    </row>
    <row r="77" spans="1:5" ht="22.5" hidden="1" customHeight="1" x14ac:dyDescent="0.15">
      <c r="A77" s="10" t="s">
        <v>99</v>
      </c>
      <c r="B77" s="11" t="s">
        <v>29</v>
      </c>
      <c r="C77" s="42">
        <v>35000</v>
      </c>
      <c r="D77" s="12"/>
      <c r="E77" s="42">
        <f t="shared" si="2"/>
        <v>0</v>
      </c>
    </row>
    <row r="78" spans="1:5" ht="22.5" customHeight="1" x14ac:dyDescent="0.2">
      <c r="A78" s="16" t="s">
        <v>47</v>
      </c>
      <c r="B78" s="7"/>
      <c r="C78" s="43"/>
      <c r="D78" s="12"/>
      <c r="E78" s="42"/>
    </row>
    <row r="79" spans="1:5" ht="22.5" customHeight="1" x14ac:dyDescent="0.2">
      <c r="A79" s="9" t="s">
        <v>48</v>
      </c>
      <c r="B79" s="7"/>
      <c r="C79" s="43"/>
      <c r="D79" s="12"/>
      <c r="E79" s="42"/>
    </row>
    <row r="80" spans="1:5" ht="22.5" customHeight="1" x14ac:dyDescent="0.15">
      <c r="A80" s="13" t="s">
        <v>49</v>
      </c>
      <c r="B80" s="11" t="s">
        <v>50</v>
      </c>
      <c r="C80" s="42">
        <v>480000</v>
      </c>
      <c r="D80" s="12">
        <f>IF($D$2=1,4, IF($D$2=2,4,0))</f>
        <v>0</v>
      </c>
      <c r="E80" s="42">
        <f t="shared" si="2"/>
        <v>0</v>
      </c>
    </row>
    <row r="81" spans="1:5" ht="22.5" customHeight="1" x14ac:dyDescent="0.15">
      <c r="A81" s="13" t="s">
        <v>51</v>
      </c>
      <c r="B81" s="11" t="s">
        <v>50</v>
      </c>
      <c r="C81" s="42">
        <v>550000</v>
      </c>
      <c r="D81" s="12">
        <f>IF($D$2=3,4, 0)</f>
        <v>0</v>
      </c>
      <c r="E81" s="42">
        <f t="shared" si="2"/>
        <v>0</v>
      </c>
    </row>
    <row r="82" spans="1:5" ht="22.5" customHeight="1" x14ac:dyDescent="0.15">
      <c r="A82" s="10" t="s">
        <v>52</v>
      </c>
      <c r="B82" s="11" t="s">
        <v>50</v>
      </c>
      <c r="C82" s="42">
        <v>1100000</v>
      </c>
      <c r="D82" s="12">
        <f>IF((($D$2&gt;=4)*($D$2&lt;=11))=1,4,0)</f>
        <v>4</v>
      </c>
      <c r="E82" s="42">
        <f t="shared" si="2"/>
        <v>4400000</v>
      </c>
    </row>
    <row r="83" spans="1:5" ht="22.5" customHeight="1" x14ac:dyDescent="0.15">
      <c r="A83" s="13" t="s">
        <v>53</v>
      </c>
      <c r="B83" s="11" t="s">
        <v>50</v>
      </c>
      <c r="C83" s="42">
        <v>1300000</v>
      </c>
      <c r="D83" s="12"/>
      <c r="E83" s="42">
        <f t="shared" si="2"/>
        <v>0</v>
      </c>
    </row>
    <row r="84" spans="1:5" ht="22.5" customHeight="1" x14ac:dyDescent="0.15">
      <c r="A84" s="10" t="s">
        <v>124</v>
      </c>
      <c r="B84" s="11" t="s">
        <v>50</v>
      </c>
      <c r="C84" s="42">
        <v>2720000</v>
      </c>
      <c r="D84" s="12">
        <f>IF((($D$2&gt;=10)*($D$2&lt;=11))=1,1,0)</f>
        <v>1</v>
      </c>
      <c r="E84" s="42">
        <f t="shared" ref="E84" si="3">C84*D84</f>
        <v>2720000</v>
      </c>
    </row>
    <row r="85" spans="1:5" ht="22.5" customHeight="1" x14ac:dyDescent="0.2">
      <c r="A85" s="9" t="s">
        <v>54</v>
      </c>
      <c r="B85" s="7"/>
      <c r="C85" s="43"/>
      <c r="D85" s="12"/>
      <c r="E85" s="42"/>
    </row>
    <row r="86" spans="1:5" ht="22.5" customHeight="1" x14ac:dyDescent="0.15">
      <c r="A86" s="13" t="s">
        <v>55</v>
      </c>
      <c r="B86" s="11" t="s">
        <v>5</v>
      </c>
      <c r="C86" s="42">
        <v>200000</v>
      </c>
      <c r="D86" s="12">
        <f>IF((($D$2&gt;=10)*($D$2&lt;=11))=1,2,1)</f>
        <v>2</v>
      </c>
      <c r="E86" s="42">
        <f t="shared" si="2"/>
        <v>400000</v>
      </c>
    </row>
    <row r="87" spans="1:5" ht="22.5" hidden="1" customHeight="1" x14ac:dyDescent="0.15">
      <c r="A87" s="10" t="s">
        <v>100</v>
      </c>
      <c r="B87" s="11" t="s">
        <v>5</v>
      </c>
      <c r="C87" s="42">
        <v>300000</v>
      </c>
      <c r="D87" s="12"/>
      <c r="E87" s="42">
        <f t="shared" si="2"/>
        <v>0</v>
      </c>
    </row>
    <row r="88" spans="1:5" ht="22.5" customHeight="1" x14ac:dyDescent="0.2">
      <c r="A88" s="9" t="s">
        <v>56</v>
      </c>
      <c r="B88" s="7"/>
      <c r="C88" s="43"/>
      <c r="D88" s="12"/>
      <c r="E88" s="42">
        <f t="shared" si="2"/>
        <v>0</v>
      </c>
    </row>
    <row r="89" spans="1:5" ht="22.5" customHeight="1" x14ac:dyDescent="0.15">
      <c r="A89" s="13" t="s">
        <v>57</v>
      </c>
      <c r="B89" s="11" t="s">
        <v>58</v>
      </c>
      <c r="C89" s="42">
        <v>200000</v>
      </c>
      <c r="D89" s="12">
        <f>ROUNDUP(D2/3,0)</f>
        <v>4</v>
      </c>
      <c r="E89" s="42">
        <f t="shared" si="2"/>
        <v>800000</v>
      </c>
    </row>
    <row r="90" spans="1:5" ht="22.5" customHeight="1" x14ac:dyDescent="0.2">
      <c r="A90" s="15" t="s">
        <v>105</v>
      </c>
      <c r="B90" s="7"/>
      <c r="C90" s="43"/>
      <c r="D90" s="12"/>
      <c r="E90" s="42">
        <f t="shared" si="2"/>
        <v>0</v>
      </c>
    </row>
    <row r="91" spans="1:5" ht="22" customHeight="1" x14ac:dyDescent="0.15">
      <c r="A91" s="10" t="s">
        <v>125</v>
      </c>
      <c r="B91" s="11" t="s">
        <v>58</v>
      </c>
      <c r="C91" s="42">
        <v>700000</v>
      </c>
      <c r="D91" s="12">
        <f>IF((($D$2&gt;=1)*($D$2&lt;=3))=1,1,0)</f>
        <v>0</v>
      </c>
      <c r="E91" s="42">
        <f t="shared" si="2"/>
        <v>0</v>
      </c>
    </row>
    <row r="92" spans="1:5" ht="22.5" customHeight="1" x14ac:dyDescent="0.15">
      <c r="A92" s="10" t="s">
        <v>126</v>
      </c>
      <c r="B92" s="11" t="s">
        <v>58</v>
      </c>
      <c r="C92" s="42">
        <v>1100000</v>
      </c>
      <c r="D92" s="12">
        <f>IF((($D$2&gt;=4)*($D$2&lt;=11))=1,1,0)</f>
        <v>1</v>
      </c>
      <c r="E92" s="42">
        <f t="shared" ref="E92" si="4">C92*D92</f>
        <v>1100000</v>
      </c>
    </row>
    <row r="93" spans="1:5" ht="22.5" customHeight="1" x14ac:dyDescent="0.2">
      <c r="A93" s="16" t="s">
        <v>59</v>
      </c>
      <c r="B93" s="7"/>
      <c r="C93" s="43"/>
      <c r="D93" s="12"/>
      <c r="E93" s="42">
        <f t="shared" si="2"/>
        <v>0</v>
      </c>
    </row>
    <row r="94" spans="1:5" ht="22.5" customHeight="1" x14ac:dyDescent="0.2">
      <c r="A94" s="9" t="s">
        <v>60</v>
      </c>
      <c r="B94" s="7"/>
      <c r="C94" s="43"/>
      <c r="D94" s="12"/>
      <c r="E94" s="42">
        <f t="shared" si="2"/>
        <v>0</v>
      </c>
    </row>
    <row r="95" spans="1:5" ht="22.5" customHeight="1" x14ac:dyDescent="0.15">
      <c r="A95" s="13" t="s">
        <v>61</v>
      </c>
      <c r="B95" s="11" t="s">
        <v>50</v>
      </c>
      <c r="C95" s="42">
        <v>250000</v>
      </c>
      <c r="D95" s="12">
        <f>IF((($D$2&gt;=1)*($D$2&lt;=3))=1,4,0)</f>
        <v>0</v>
      </c>
      <c r="E95" s="42">
        <f t="shared" si="2"/>
        <v>0</v>
      </c>
    </row>
    <row r="96" spans="1:5" ht="22.5" customHeight="1" x14ac:dyDescent="0.15">
      <c r="A96" s="10" t="s">
        <v>101</v>
      </c>
      <c r="B96" s="11" t="s">
        <v>50</v>
      </c>
      <c r="C96" s="42">
        <v>250000</v>
      </c>
      <c r="D96" s="12">
        <f>IF((($D$2&gt;=4)*($D$2&lt;=11))=1,4,0)</f>
        <v>4</v>
      </c>
      <c r="E96" s="42">
        <f t="shared" si="2"/>
        <v>1000000</v>
      </c>
    </row>
    <row r="97" spans="1:5" ht="22.5" customHeight="1" x14ac:dyDescent="0.15">
      <c r="A97" s="10" t="s">
        <v>102</v>
      </c>
      <c r="B97" s="11" t="s">
        <v>50</v>
      </c>
      <c r="C97" s="42">
        <v>200000</v>
      </c>
      <c r="D97" s="12"/>
      <c r="E97" s="42">
        <f t="shared" si="2"/>
        <v>0</v>
      </c>
    </row>
    <row r="98" spans="1:5" ht="22.5" customHeight="1" x14ac:dyDescent="0.2">
      <c r="A98" s="16" t="s">
        <v>62</v>
      </c>
      <c r="B98" s="7"/>
      <c r="C98" s="43"/>
      <c r="D98" s="12"/>
      <c r="E98" s="42">
        <f t="shared" si="2"/>
        <v>0</v>
      </c>
    </row>
    <row r="99" spans="1:5" ht="22.5" customHeight="1" x14ac:dyDescent="0.2">
      <c r="A99" s="9" t="s">
        <v>63</v>
      </c>
      <c r="B99" s="7"/>
      <c r="C99" s="43"/>
      <c r="D99" s="12"/>
      <c r="E99" s="42">
        <f t="shared" si="2"/>
        <v>0</v>
      </c>
    </row>
    <row r="100" spans="1:5" ht="22.5" customHeight="1" x14ac:dyDescent="0.15">
      <c r="A100" s="13" t="s">
        <v>64</v>
      </c>
      <c r="B100" s="11" t="s">
        <v>115</v>
      </c>
      <c r="C100" s="42">
        <v>50000</v>
      </c>
      <c r="D100" s="12">
        <f>ROUNDUP(D2*C2*4/24,0)</f>
        <v>10</v>
      </c>
      <c r="E100" s="42">
        <f t="shared" si="2"/>
        <v>500000</v>
      </c>
    </row>
    <row r="101" spans="1:5" ht="22.5" customHeight="1" x14ac:dyDescent="0.15">
      <c r="A101" s="13" t="s">
        <v>66</v>
      </c>
      <c r="B101" s="11" t="s">
        <v>65</v>
      </c>
      <c r="C101" s="42">
        <v>100000</v>
      </c>
      <c r="D101" s="12">
        <v>1</v>
      </c>
      <c r="E101" s="42">
        <f t="shared" si="2"/>
        <v>100000</v>
      </c>
    </row>
    <row r="102" spans="1:5" ht="22.5" customHeight="1" x14ac:dyDescent="0.15">
      <c r="A102" s="13" t="s">
        <v>67</v>
      </c>
      <c r="B102" s="11" t="s">
        <v>29</v>
      </c>
      <c r="C102" s="42">
        <v>60000</v>
      </c>
      <c r="D102" s="12">
        <f>D2</f>
        <v>11</v>
      </c>
      <c r="E102" s="42">
        <f t="shared" si="2"/>
        <v>660000</v>
      </c>
    </row>
    <row r="103" spans="1:5" ht="22.5" hidden="1" customHeight="1" x14ac:dyDescent="0.2">
      <c r="A103" s="9" t="s">
        <v>68</v>
      </c>
      <c r="B103" s="7"/>
      <c r="C103" s="14"/>
      <c r="D103" s="12"/>
      <c r="E103" s="42">
        <f t="shared" si="2"/>
        <v>0</v>
      </c>
    </row>
    <row r="104" spans="1:5" ht="22.5" hidden="1" customHeight="1" x14ac:dyDescent="0.15">
      <c r="A104" s="13" t="s">
        <v>69</v>
      </c>
      <c r="B104" s="11" t="s">
        <v>58</v>
      </c>
      <c r="C104" s="12">
        <v>2000000</v>
      </c>
      <c r="D104" s="12"/>
      <c r="E104" s="42">
        <f t="shared" si="2"/>
        <v>0</v>
      </c>
    </row>
    <row r="105" spans="1:5" ht="22.5" customHeight="1" x14ac:dyDescent="0.2">
      <c r="A105" s="9" t="s">
        <v>70</v>
      </c>
      <c r="B105" s="7"/>
      <c r="C105" s="14"/>
      <c r="D105" s="12"/>
      <c r="E105" s="42">
        <f t="shared" si="2"/>
        <v>0</v>
      </c>
    </row>
    <row r="106" spans="1:5" ht="22.5" customHeight="1" x14ac:dyDescent="0.15">
      <c r="A106" s="13" t="s">
        <v>71</v>
      </c>
      <c r="B106" s="11" t="s">
        <v>29</v>
      </c>
      <c r="C106" s="12">
        <v>16000</v>
      </c>
      <c r="D106" s="12">
        <f>D2</f>
        <v>11</v>
      </c>
      <c r="E106" s="42">
        <f t="shared" si="2"/>
        <v>176000</v>
      </c>
    </row>
    <row r="107" spans="1:5" ht="22.5" customHeight="1" x14ac:dyDescent="0.15">
      <c r="A107" s="10" t="s">
        <v>88</v>
      </c>
      <c r="B107" s="11" t="s">
        <v>5</v>
      </c>
      <c r="C107" s="12">
        <v>100000</v>
      </c>
      <c r="D107" s="12">
        <v>1</v>
      </c>
      <c r="E107" s="42">
        <f>C107*D107</f>
        <v>100000</v>
      </c>
    </row>
    <row r="108" spans="1:5" s="1" customFormat="1" ht="30" customHeight="1" x14ac:dyDescent="0.15">
      <c r="A108" s="18" t="s">
        <v>116</v>
      </c>
      <c r="B108" s="17"/>
      <c r="C108" s="5"/>
      <c r="D108" s="12"/>
      <c r="E108" s="45">
        <f>SUM(E7:E107)</f>
        <v>31821000</v>
      </c>
    </row>
    <row r="109" spans="1:5" ht="36" customHeight="1" x14ac:dyDescent="0.15">
      <c r="A109" s="18" t="s">
        <v>121</v>
      </c>
      <c r="B109" s="8"/>
      <c r="C109" s="8"/>
      <c r="D109" s="8"/>
      <c r="E109" s="45">
        <f>E108/D2</f>
        <v>2892818.1818181816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G12"/>
  <sheetViews>
    <sheetView tabSelected="1" workbookViewId="0">
      <selection activeCell="D16" sqref="D16"/>
    </sheetView>
  </sheetViews>
  <sheetFormatPr baseColWidth="10" defaultColWidth="9" defaultRowHeight="13" x14ac:dyDescent="0.15"/>
  <cols>
    <col min="1" max="1" width="10.19921875" customWidth="1"/>
    <col min="2" max="2" width="20.796875" customWidth="1"/>
    <col min="3" max="3" width="22.19921875" customWidth="1"/>
    <col min="4" max="5" width="20" customWidth="1"/>
    <col min="6" max="6" width="19.796875" customWidth="1"/>
    <col min="7" max="7" width="28" customWidth="1"/>
  </cols>
  <sheetData>
    <row r="1" spans="1:7" ht="15" x14ac:dyDescent="0.2">
      <c r="A1" s="19" t="s">
        <v>117</v>
      </c>
      <c r="B1" s="19" t="s">
        <v>121</v>
      </c>
      <c r="C1" s="19" t="s">
        <v>116</v>
      </c>
      <c r="D1" s="19" t="s">
        <v>122</v>
      </c>
      <c r="E1" s="19" t="s">
        <v>123</v>
      </c>
      <c r="F1" s="19" t="s">
        <v>118</v>
      </c>
      <c r="G1" s="19" t="s">
        <v>119</v>
      </c>
    </row>
    <row r="2" spans="1:7" ht="15" x14ac:dyDescent="0.2">
      <c r="A2" s="20" t="s">
        <v>120</v>
      </c>
      <c r="B2" s="21">
        <v>7836000</v>
      </c>
      <c r="C2" s="22">
        <f>B2*A2</f>
        <v>7836000</v>
      </c>
      <c r="D2" s="21">
        <v>9000000</v>
      </c>
      <c r="E2" s="21">
        <f>D2*A2</f>
        <v>9000000</v>
      </c>
      <c r="F2" s="21">
        <f t="shared" ref="F2:F12" si="0">E2-C2</f>
        <v>1164000</v>
      </c>
      <c r="G2" s="21">
        <f>F2/E2*100</f>
        <v>12.933333333333334</v>
      </c>
    </row>
    <row r="3" spans="1:7" ht="15" x14ac:dyDescent="0.2">
      <c r="A3" s="23">
        <v>2</v>
      </c>
      <c r="B3" s="24">
        <v>4248500</v>
      </c>
      <c r="C3" s="25">
        <f>B3*A3</f>
        <v>8497000</v>
      </c>
      <c r="D3" s="24">
        <v>5125000</v>
      </c>
      <c r="E3" s="24">
        <f>D3*A3</f>
        <v>10250000</v>
      </c>
      <c r="F3" s="24">
        <f t="shared" si="0"/>
        <v>1753000</v>
      </c>
      <c r="G3" s="24">
        <f t="shared" ref="G3:G12" si="1">F3/E3*100</f>
        <v>17.102439024390247</v>
      </c>
    </row>
    <row r="4" spans="1:7" ht="15" x14ac:dyDescent="0.2">
      <c r="A4" s="26">
        <v>3</v>
      </c>
      <c r="B4" s="27">
        <v>3814333.3333333335</v>
      </c>
      <c r="C4" s="27">
        <f>B4*A4</f>
        <v>11443000</v>
      </c>
      <c r="D4" s="28">
        <v>4600000</v>
      </c>
      <c r="E4" s="28">
        <f>D4*A4</f>
        <v>13800000</v>
      </c>
      <c r="F4" s="28">
        <f t="shared" si="0"/>
        <v>2357000</v>
      </c>
      <c r="G4" s="28">
        <f t="shared" si="1"/>
        <v>17.079710144927539</v>
      </c>
    </row>
    <row r="5" spans="1:7" ht="15" x14ac:dyDescent="0.2">
      <c r="A5" s="26">
        <v>4</v>
      </c>
      <c r="B5" s="27">
        <v>3726000</v>
      </c>
      <c r="C5" s="27">
        <f>B5*A5</f>
        <v>14904000</v>
      </c>
      <c r="D5" s="28">
        <v>4600000</v>
      </c>
      <c r="E5" s="28">
        <f>D5*A5</f>
        <v>18400000</v>
      </c>
      <c r="F5" s="28">
        <f t="shared" si="0"/>
        <v>3496000</v>
      </c>
      <c r="G5" s="28">
        <f t="shared" si="1"/>
        <v>19</v>
      </c>
    </row>
    <row r="6" spans="1:7" ht="15" x14ac:dyDescent="0.2">
      <c r="A6" s="32">
        <v>5</v>
      </c>
      <c r="B6" s="33">
        <v>3614000</v>
      </c>
      <c r="C6" s="33">
        <f>B6*A6</f>
        <v>18070000</v>
      </c>
      <c r="D6" s="34">
        <v>4350000</v>
      </c>
      <c r="E6" s="34">
        <f>D6*A6</f>
        <v>21750000</v>
      </c>
      <c r="F6" s="34">
        <f t="shared" si="0"/>
        <v>3680000</v>
      </c>
      <c r="G6" s="34">
        <f t="shared" si="1"/>
        <v>16.919540229885058</v>
      </c>
    </row>
    <row r="7" spans="1:7" ht="15" x14ac:dyDescent="0.2">
      <c r="A7" s="32">
        <v>6</v>
      </c>
      <c r="B7" s="33">
        <v>3113500</v>
      </c>
      <c r="C7" s="33">
        <f>B7*A7</f>
        <v>18681000</v>
      </c>
      <c r="D7" s="34">
        <v>4350000</v>
      </c>
      <c r="E7" s="34">
        <f>D7*A7</f>
        <v>26100000</v>
      </c>
      <c r="F7" s="34">
        <f t="shared" si="0"/>
        <v>7419000</v>
      </c>
      <c r="G7" s="34">
        <f t="shared" si="1"/>
        <v>28.425287356321839</v>
      </c>
    </row>
    <row r="8" spans="1:7" ht="15" x14ac:dyDescent="0.2">
      <c r="A8" s="32">
        <v>7</v>
      </c>
      <c r="B8" s="33">
        <v>3078142.8571428573</v>
      </c>
      <c r="C8" s="33">
        <f>B8*A8</f>
        <v>21547000</v>
      </c>
      <c r="D8" s="34">
        <v>4350000</v>
      </c>
      <c r="E8" s="34">
        <f>D8*A8</f>
        <v>30450000</v>
      </c>
      <c r="F8" s="34">
        <f t="shared" si="0"/>
        <v>8903000</v>
      </c>
      <c r="G8" s="34">
        <f t="shared" si="1"/>
        <v>29.238095238095241</v>
      </c>
    </row>
    <row r="9" spans="1:7" ht="15" x14ac:dyDescent="0.2">
      <c r="A9" s="35">
        <v>8</v>
      </c>
      <c r="B9" s="36">
        <v>2776000</v>
      </c>
      <c r="C9" s="37">
        <f>B9*A9</f>
        <v>22208000</v>
      </c>
      <c r="D9" s="38">
        <v>3950000</v>
      </c>
      <c r="E9" s="38">
        <f>D9*A9</f>
        <v>31600000</v>
      </c>
      <c r="F9" s="38">
        <f t="shared" si="0"/>
        <v>9392000</v>
      </c>
      <c r="G9" s="38">
        <f t="shared" si="1"/>
        <v>29.721518987341771</v>
      </c>
    </row>
    <row r="10" spans="1:7" ht="15" x14ac:dyDescent="0.2">
      <c r="A10" s="35">
        <v>9</v>
      </c>
      <c r="B10" s="37">
        <v>2819333.3333333335</v>
      </c>
      <c r="C10" s="37">
        <f>B10*A10</f>
        <v>25374000</v>
      </c>
      <c r="D10" s="38">
        <v>3950000</v>
      </c>
      <c r="E10" s="38">
        <f>D10*A10</f>
        <v>35550000</v>
      </c>
      <c r="F10" s="38">
        <f t="shared" si="0"/>
        <v>10176000</v>
      </c>
      <c r="G10" s="38">
        <f t="shared" si="1"/>
        <v>28.624472573839661</v>
      </c>
    </row>
    <row r="11" spans="1:7" ht="15" x14ac:dyDescent="0.2">
      <c r="A11" s="35">
        <v>10</v>
      </c>
      <c r="B11" s="37">
        <v>2915500</v>
      </c>
      <c r="C11" s="37">
        <f>B11*A11</f>
        <v>29155000</v>
      </c>
      <c r="D11" s="38">
        <v>3950000</v>
      </c>
      <c r="E11" s="38">
        <f>D11*A11</f>
        <v>39500000</v>
      </c>
      <c r="F11" s="38">
        <f t="shared" si="0"/>
        <v>10345000</v>
      </c>
      <c r="G11" s="38">
        <f t="shared" si="1"/>
        <v>26.189873417721522</v>
      </c>
    </row>
    <row r="12" spans="1:7" ht="15" x14ac:dyDescent="0.2">
      <c r="A12" s="29">
        <v>11</v>
      </c>
      <c r="B12" s="30">
        <v>2892818.1818181816</v>
      </c>
      <c r="C12" s="30">
        <f>B12*A12</f>
        <v>31821000</v>
      </c>
      <c r="D12" s="31">
        <v>3750000</v>
      </c>
      <c r="E12" s="31">
        <f>D12*A12</f>
        <v>41250000</v>
      </c>
      <c r="F12" s="31">
        <f t="shared" si="0"/>
        <v>9429000</v>
      </c>
      <c r="G12" s="31">
        <f t="shared" si="1"/>
        <v>22.858181818181819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2024-11-21T19:46:49Z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