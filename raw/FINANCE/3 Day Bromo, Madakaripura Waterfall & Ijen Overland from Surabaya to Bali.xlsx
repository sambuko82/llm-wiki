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89" documentId="8_{49DE2DE6-D929-4DA0-BB4F-4F6EC9A2F1B6}" xr6:coauthVersionLast="47" xr6:coauthVersionMax="47" xr10:uidLastSave="{3AE7AD72-0C00-4B69-A991-9522DF934E17}"/>
  <bookViews>
    <workbookView xWindow="-105" yWindow="0" windowWidth="19410" windowHeight="15585" firstSheet="4" activeTab="12" xr2:uid="{00000000-000D-0000-FFFF-FFFF00000000}"/>
  </bookViews>
  <sheets>
    <sheet name="Calculation" sheetId="2" r:id="rId1"/>
    <sheet name="Summary" sheetId="3" r:id="rId2"/>
    <sheet name="1 Pax" sheetId="7" r:id="rId3"/>
    <sheet name="2 Pax" sheetId="8" r:id="rId4"/>
    <sheet name="3 Pax" sheetId="9" r:id="rId5"/>
    <sheet name="4 Pax" sheetId="10" r:id="rId6"/>
    <sheet name="5 Pax" sheetId="11" r:id="rId7"/>
    <sheet name="6 Pax" sheetId="12" r:id="rId8"/>
    <sheet name="7 Pax" sheetId="13" r:id="rId9"/>
    <sheet name="8 Pax" sheetId="14" r:id="rId10"/>
    <sheet name="9 Pax" sheetId="15" r:id="rId11"/>
    <sheet name="10 Pax" sheetId="16" r:id="rId12"/>
    <sheet name="11 Pax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7" l="1"/>
  <c r="E15" i="17" s="1"/>
  <c r="D13" i="16"/>
  <c r="E13" i="16" s="1"/>
  <c r="D15" i="15"/>
  <c r="E15" i="15" s="1"/>
  <c r="D13" i="14"/>
  <c r="D15" i="13"/>
  <c r="E15" i="13" s="1"/>
  <c r="D13" i="12"/>
  <c r="E13" i="12" s="1"/>
  <c r="D15" i="11"/>
  <c r="E15" i="11" s="1"/>
  <c r="D13" i="10"/>
  <c r="E13" i="10" s="1"/>
  <c r="D13" i="9"/>
  <c r="E13" i="9" s="1"/>
  <c r="D13" i="8"/>
  <c r="E13" i="8" s="1"/>
  <c r="D13" i="7"/>
  <c r="D40" i="17"/>
  <c r="E40" i="17" s="1"/>
  <c r="D38" i="17"/>
  <c r="E38" i="17" s="1"/>
  <c r="E37" i="17"/>
  <c r="D36" i="17"/>
  <c r="E36" i="17" s="1"/>
  <c r="D33" i="17"/>
  <c r="E33" i="17" s="1"/>
  <c r="D30" i="17"/>
  <c r="E30" i="17" s="1"/>
  <c r="C28" i="17"/>
  <c r="E28" i="17" s="1"/>
  <c r="D27" i="17"/>
  <c r="E27" i="17" s="1"/>
  <c r="E24" i="17"/>
  <c r="D23" i="17"/>
  <c r="E23" i="17" s="1"/>
  <c r="D21" i="17"/>
  <c r="E21" i="17" s="1"/>
  <c r="D20" i="17"/>
  <c r="E20" i="17" s="1"/>
  <c r="D18" i="17"/>
  <c r="E18" i="17" s="1"/>
  <c r="E17" i="17"/>
  <c r="D16" i="17"/>
  <c r="E16" i="17" s="1"/>
  <c r="D14" i="17"/>
  <c r="E14" i="17" s="1"/>
  <c r="E11" i="17"/>
  <c r="E10" i="17"/>
  <c r="E8" i="17"/>
  <c r="E7" i="17"/>
  <c r="D38" i="16"/>
  <c r="E38" i="16" s="1"/>
  <c r="D36" i="16"/>
  <c r="E36" i="16" s="1"/>
  <c r="E35" i="16"/>
  <c r="D34" i="16"/>
  <c r="E34" i="16" s="1"/>
  <c r="D31" i="16"/>
  <c r="E31" i="16" s="1"/>
  <c r="D28" i="16"/>
  <c r="E28" i="16" s="1"/>
  <c r="C26" i="16"/>
  <c r="E26" i="16" s="1"/>
  <c r="D25" i="16"/>
  <c r="E25" i="16" s="1"/>
  <c r="E22" i="16"/>
  <c r="D21" i="16"/>
  <c r="E21" i="16" s="1"/>
  <c r="D19" i="16"/>
  <c r="E19" i="16" s="1"/>
  <c r="D18" i="16"/>
  <c r="E18" i="16" s="1"/>
  <c r="D16" i="16"/>
  <c r="E16" i="16" s="1"/>
  <c r="E15" i="16"/>
  <c r="D14" i="16"/>
  <c r="E14" i="16" s="1"/>
  <c r="D12" i="16"/>
  <c r="E12" i="16" s="1"/>
  <c r="D9" i="16"/>
  <c r="E9" i="16" s="1"/>
  <c r="D7" i="16"/>
  <c r="E7" i="16" s="1"/>
  <c r="D39" i="15"/>
  <c r="E39" i="15" s="1"/>
  <c r="D37" i="15"/>
  <c r="E37" i="15" s="1"/>
  <c r="E36" i="15"/>
  <c r="D35" i="15"/>
  <c r="E35" i="15" s="1"/>
  <c r="D32" i="15"/>
  <c r="E32" i="15" s="1"/>
  <c r="D29" i="15"/>
  <c r="E29" i="15" s="1"/>
  <c r="D27" i="15"/>
  <c r="E27" i="15" s="1"/>
  <c r="E24" i="15"/>
  <c r="D23" i="15"/>
  <c r="E23" i="15" s="1"/>
  <c r="D21" i="15"/>
  <c r="E21" i="15" s="1"/>
  <c r="D20" i="15"/>
  <c r="E20" i="15" s="1"/>
  <c r="D18" i="15"/>
  <c r="E18" i="15" s="1"/>
  <c r="E17" i="15"/>
  <c r="D16" i="15"/>
  <c r="E16" i="15" s="1"/>
  <c r="D14" i="15"/>
  <c r="E14" i="15" s="1"/>
  <c r="E11" i="15"/>
  <c r="E10" i="15"/>
  <c r="E8" i="15"/>
  <c r="E7" i="15"/>
  <c r="D37" i="14"/>
  <c r="E37" i="14" s="1"/>
  <c r="D35" i="14"/>
  <c r="E35" i="14" s="1"/>
  <c r="E34" i="14"/>
  <c r="D33" i="14"/>
  <c r="E33" i="14" s="1"/>
  <c r="D30" i="14"/>
  <c r="E30" i="14" s="1"/>
  <c r="D27" i="14"/>
  <c r="E27" i="14" s="1"/>
  <c r="D25" i="14"/>
  <c r="E25" i="14" s="1"/>
  <c r="E22" i="14"/>
  <c r="D21" i="14"/>
  <c r="E21" i="14" s="1"/>
  <c r="D19" i="14"/>
  <c r="E19" i="14" s="1"/>
  <c r="D18" i="14"/>
  <c r="E18" i="14" s="1"/>
  <c r="D16" i="14"/>
  <c r="E16" i="14" s="1"/>
  <c r="E15" i="14"/>
  <c r="D14" i="14"/>
  <c r="E14" i="14" s="1"/>
  <c r="E13" i="14"/>
  <c r="D12" i="14"/>
  <c r="E12" i="14" s="1"/>
  <c r="D9" i="14"/>
  <c r="E9" i="14" s="1"/>
  <c r="D7" i="14"/>
  <c r="E7" i="14" s="1"/>
  <c r="D39" i="13"/>
  <c r="E39" i="13" s="1"/>
  <c r="D37" i="13"/>
  <c r="E37" i="13" s="1"/>
  <c r="E36" i="13"/>
  <c r="D35" i="13"/>
  <c r="E35" i="13" s="1"/>
  <c r="D32" i="13"/>
  <c r="E32" i="13" s="1"/>
  <c r="D29" i="13"/>
  <c r="E29" i="13" s="1"/>
  <c r="D27" i="13"/>
  <c r="E27" i="13" s="1"/>
  <c r="E24" i="13"/>
  <c r="D23" i="13"/>
  <c r="E23" i="13" s="1"/>
  <c r="D21" i="13"/>
  <c r="E21" i="13" s="1"/>
  <c r="D20" i="13"/>
  <c r="E20" i="13" s="1"/>
  <c r="D18" i="13"/>
  <c r="E18" i="13" s="1"/>
  <c r="E17" i="13"/>
  <c r="D16" i="13"/>
  <c r="E16" i="13" s="1"/>
  <c r="D14" i="13"/>
  <c r="E14" i="13" s="1"/>
  <c r="E11" i="13"/>
  <c r="E10" i="13"/>
  <c r="E8" i="13"/>
  <c r="E7" i="13"/>
  <c r="D37" i="12"/>
  <c r="E37" i="12" s="1"/>
  <c r="D35" i="12"/>
  <c r="E35" i="12" s="1"/>
  <c r="E34" i="12"/>
  <c r="D33" i="12"/>
  <c r="E33" i="12" s="1"/>
  <c r="D30" i="12"/>
  <c r="E30" i="12" s="1"/>
  <c r="D27" i="12"/>
  <c r="E27" i="12" s="1"/>
  <c r="D25" i="12"/>
  <c r="E25" i="12" s="1"/>
  <c r="E22" i="12"/>
  <c r="D21" i="12"/>
  <c r="E21" i="12" s="1"/>
  <c r="D19" i="12"/>
  <c r="E19" i="12" s="1"/>
  <c r="D18" i="12"/>
  <c r="E18" i="12" s="1"/>
  <c r="D16" i="12"/>
  <c r="E16" i="12" s="1"/>
  <c r="E15" i="12"/>
  <c r="D14" i="12"/>
  <c r="E14" i="12" s="1"/>
  <c r="D12" i="12"/>
  <c r="E12" i="12" s="1"/>
  <c r="D9" i="12"/>
  <c r="E9" i="12" s="1"/>
  <c r="D7" i="12"/>
  <c r="E7" i="12" s="1"/>
  <c r="D39" i="11"/>
  <c r="E39" i="11" s="1"/>
  <c r="D37" i="11"/>
  <c r="E37" i="11" s="1"/>
  <c r="E36" i="11"/>
  <c r="D35" i="11"/>
  <c r="E35" i="11" s="1"/>
  <c r="D32" i="11"/>
  <c r="E32" i="11" s="1"/>
  <c r="D29" i="11"/>
  <c r="E29" i="11" s="1"/>
  <c r="D27" i="11"/>
  <c r="E27" i="11" s="1"/>
  <c r="E24" i="11"/>
  <c r="D23" i="11"/>
  <c r="E23" i="11" s="1"/>
  <c r="D21" i="11"/>
  <c r="E21" i="11" s="1"/>
  <c r="D20" i="11"/>
  <c r="E20" i="11" s="1"/>
  <c r="D18" i="11"/>
  <c r="E18" i="11" s="1"/>
  <c r="E17" i="11"/>
  <c r="D16" i="11"/>
  <c r="E16" i="11" s="1"/>
  <c r="D14" i="11"/>
  <c r="E14" i="11" s="1"/>
  <c r="E13" i="11"/>
  <c r="E12" i="11"/>
  <c r="E11" i="11"/>
  <c r="E10" i="11"/>
  <c r="E8" i="11"/>
  <c r="E7" i="11"/>
  <c r="D36" i="10"/>
  <c r="E36" i="10" s="1"/>
  <c r="E35" i="10"/>
  <c r="D34" i="10"/>
  <c r="E34" i="10" s="1"/>
  <c r="E33" i="10"/>
  <c r="D32" i="10"/>
  <c r="E32" i="10" s="1"/>
  <c r="E31" i="10"/>
  <c r="E30" i="10"/>
  <c r="D29" i="10"/>
  <c r="E29" i="10" s="1"/>
  <c r="E28" i="10"/>
  <c r="E27" i="10"/>
  <c r="D26" i="10"/>
  <c r="E26" i="10" s="1"/>
  <c r="D24" i="10"/>
  <c r="E24" i="10" s="1"/>
  <c r="E21" i="10"/>
  <c r="D20" i="10"/>
  <c r="E20" i="10" s="1"/>
  <c r="D18" i="10"/>
  <c r="E18" i="10" s="1"/>
  <c r="D17" i="10"/>
  <c r="E17" i="10" s="1"/>
  <c r="D15" i="10"/>
  <c r="E15" i="10" s="1"/>
  <c r="D14" i="10"/>
  <c r="E14" i="10" s="1"/>
  <c r="D12" i="10"/>
  <c r="E12" i="10" s="1"/>
  <c r="D9" i="10"/>
  <c r="E9" i="10" s="1"/>
  <c r="D7" i="10"/>
  <c r="E7" i="10" s="1"/>
  <c r="D37" i="9"/>
  <c r="E37" i="9" s="1"/>
  <c r="D35" i="9"/>
  <c r="E35" i="9" s="1"/>
  <c r="E34" i="9"/>
  <c r="D33" i="9"/>
  <c r="E33" i="9" s="1"/>
  <c r="E32" i="9"/>
  <c r="E31" i="9"/>
  <c r="D30" i="9"/>
  <c r="E30" i="9" s="1"/>
  <c r="E29" i="9"/>
  <c r="E28" i="9"/>
  <c r="D27" i="9"/>
  <c r="E27" i="9" s="1"/>
  <c r="E25" i="9"/>
  <c r="E22" i="9"/>
  <c r="D21" i="9"/>
  <c r="E21" i="9" s="1"/>
  <c r="D19" i="9"/>
  <c r="E19" i="9" s="1"/>
  <c r="D18" i="9"/>
  <c r="E18" i="9" s="1"/>
  <c r="D16" i="9"/>
  <c r="E16" i="9" s="1"/>
  <c r="E15" i="9"/>
  <c r="D14" i="9"/>
  <c r="E14" i="9" s="1"/>
  <c r="D12" i="9"/>
  <c r="E12" i="9" s="1"/>
  <c r="E11" i="9"/>
  <c r="E10" i="9"/>
  <c r="E9" i="9"/>
  <c r="E7" i="9"/>
  <c r="D37" i="8"/>
  <c r="E37" i="8" s="1"/>
  <c r="E36" i="8"/>
  <c r="D35" i="8"/>
  <c r="E35" i="8" s="1"/>
  <c r="E34" i="8"/>
  <c r="D33" i="8"/>
  <c r="E33" i="8" s="1"/>
  <c r="E32" i="8"/>
  <c r="E31" i="8"/>
  <c r="D30" i="8"/>
  <c r="E30" i="8" s="1"/>
  <c r="E29" i="8"/>
  <c r="E28" i="8"/>
  <c r="D27" i="8"/>
  <c r="E27" i="8" s="1"/>
  <c r="D25" i="8"/>
  <c r="E25" i="8" s="1"/>
  <c r="E22" i="8"/>
  <c r="D21" i="8"/>
  <c r="E21" i="8" s="1"/>
  <c r="D19" i="8"/>
  <c r="E19" i="8" s="1"/>
  <c r="D18" i="8"/>
  <c r="E18" i="8" s="1"/>
  <c r="D16" i="8"/>
  <c r="E16" i="8" s="1"/>
  <c r="E15" i="8"/>
  <c r="D14" i="8"/>
  <c r="E14" i="8" s="1"/>
  <c r="D12" i="8"/>
  <c r="E12" i="8" s="1"/>
  <c r="E11" i="8"/>
  <c r="E10" i="8"/>
  <c r="D9" i="8"/>
  <c r="E9" i="8" s="1"/>
  <c r="D7" i="8"/>
  <c r="E7" i="8" s="1"/>
  <c r="D37" i="7"/>
  <c r="E37" i="7" s="1"/>
  <c r="E36" i="7"/>
  <c r="D35" i="7"/>
  <c r="E35" i="7" s="1"/>
  <c r="E34" i="7"/>
  <c r="D33" i="7"/>
  <c r="E33" i="7" s="1"/>
  <c r="E32" i="7"/>
  <c r="E31" i="7"/>
  <c r="D30" i="7"/>
  <c r="E30" i="7" s="1"/>
  <c r="E29" i="7"/>
  <c r="E28" i="7"/>
  <c r="D27" i="7"/>
  <c r="E27" i="7" s="1"/>
  <c r="D25" i="7"/>
  <c r="E25" i="7" s="1"/>
  <c r="E22" i="7"/>
  <c r="D21" i="7"/>
  <c r="E21" i="7" s="1"/>
  <c r="D19" i="7"/>
  <c r="E19" i="7" s="1"/>
  <c r="D18" i="7"/>
  <c r="E18" i="7" s="1"/>
  <c r="D16" i="7"/>
  <c r="E16" i="7" s="1"/>
  <c r="E15" i="7"/>
  <c r="D14" i="7"/>
  <c r="E14" i="7" s="1"/>
  <c r="E13" i="7"/>
  <c r="D12" i="7"/>
  <c r="E12" i="7" s="1"/>
  <c r="E11" i="7"/>
  <c r="E10" i="7"/>
  <c r="D9" i="7"/>
  <c r="E9" i="7" s="1"/>
  <c r="D7" i="7"/>
  <c r="E7" i="7" s="1"/>
  <c r="C39" i="2"/>
  <c r="E39" i="2" s="1"/>
  <c r="D60" i="2"/>
  <c r="E60" i="2" s="1"/>
  <c r="D41" i="2"/>
  <c r="E41" i="2" s="1"/>
  <c r="D49" i="2"/>
  <c r="E49" i="2" s="1"/>
  <c r="D37" i="2"/>
  <c r="E37" i="2" s="1"/>
  <c r="D50" i="2"/>
  <c r="E50" i="2" s="1"/>
  <c r="D36" i="2"/>
  <c r="E36" i="2" s="1"/>
  <c r="E6" i="3"/>
  <c r="E7" i="3"/>
  <c r="E8" i="3"/>
  <c r="E9" i="3"/>
  <c r="E10" i="3"/>
  <c r="E11" i="3"/>
  <c r="E12" i="3"/>
  <c r="E13" i="3"/>
  <c r="E14" i="3"/>
  <c r="E15" i="3"/>
  <c r="E5" i="3"/>
  <c r="D56" i="2"/>
  <c r="E56" i="2" s="1"/>
  <c r="D54" i="2"/>
  <c r="E54" i="2" s="1"/>
  <c r="D35" i="2"/>
  <c r="E35" i="2" s="1"/>
  <c r="E61" i="2"/>
  <c r="E8" i="2"/>
  <c r="E9" i="2"/>
  <c r="E10" i="2"/>
  <c r="E11" i="2"/>
  <c r="E14" i="2"/>
  <c r="E15" i="2"/>
  <c r="E16" i="2"/>
  <c r="E17" i="2"/>
  <c r="E19" i="2"/>
  <c r="E21" i="2"/>
  <c r="E24" i="2"/>
  <c r="E25" i="2"/>
  <c r="E26" i="2"/>
  <c r="E32" i="2"/>
  <c r="E38" i="2"/>
  <c r="E42" i="2"/>
  <c r="E43" i="2"/>
  <c r="E44" i="2"/>
  <c r="E45" i="2"/>
  <c r="E46" i="2"/>
  <c r="E47" i="2"/>
  <c r="E48" i="2"/>
  <c r="E51" i="2"/>
  <c r="E52" i="2"/>
  <c r="E53" i="2"/>
  <c r="E55" i="2"/>
  <c r="E57" i="2"/>
  <c r="E58" i="2"/>
  <c r="E59" i="2"/>
  <c r="D31" i="2"/>
  <c r="E31" i="2" s="1"/>
  <c r="D29" i="2"/>
  <c r="E29" i="2" s="1"/>
  <c r="D28" i="2"/>
  <c r="E28" i="2" s="1"/>
  <c r="D23" i="2"/>
  <c r="E23" i="2" s="1"/>
  <c r="E22" i="2"/>
  <c r="D20" i="2"/>
  <c r="E20" i="2" s="1"/>
  <c r="D18" i="2"/>
  <c r="E18" i="2" s="1"/>
  <c r="D13" i="2"/>
  <c r="E13" i="2" s="1"/>
  <c r="D7" i="2"/>
  <c r="E7" i="2" s="1"/>
  <c r="E41" i="17" l="1"/>
  <c r="E42" i="17" s="1"/>
  <c r="B15" i="3" s="1"/>
  <c r="C15" i="3" s="1"/>
  <c r="F15" i="3" s="1"/>
  <c r="G15" i="3" s="1"/>
  <c r="E39" i="16"/>
  <c r="E40" i="16" s="1"/>
  <c r="B14" i="3" s="1"/>
  <c r="C14" i="3" s="1"/>
  <c r="F14" i="3" s="1"/>
  <c r="G14" i="3" s="1"/>
  <c r="E40" i="15"/>
  <c r="E41" i="15" s="1"/>
  <c r="B13" i="3" s="1"/>
  <c r="C13" i="3" s="1"/>
  <c r="F13" i="3" s="1"/>
  <c r="G13" i="3" s="1"/>
  <c r="E38" i="14"/>
  <c r="E39" i="14" s="1"/>
  <c r="B12" i="3" s="1"/>
  <c r="C12" i="3" s="1"/>
  <c r="F12" i="3" s="1"/>
  <c r="G12" i="3" s="1"/>
  <c r="E40" i="13"/>
  <c r="E41" i="13" s="1"/>
  <c r="B11" i="3" s="1"/>
  <c r="C11" i="3" s="1"/>
  <c r="F11" i="3" s="1"/>
  <c r="G11" i="3" s="1"/>
  <c r="E38" i="12"/>
  <c r="E39" i="12" s="1"/>
  <c r="B10" i="3" s="1"/>
  <c r="C10" i="3" s="1"/>
  <c r="F10" i="3" s="1"/>
  <c r="G10" i="3" s="1"/>
  <c r="E40" i="11"/>
  <c r="E41" i="11" s="1"/>
  <c r="B9" i="3" s="1"/>
  <c r="C9" i="3" s="1"/>
  <c r="F9" i="3" s="1"/>
  <c r="G9" i="3" s="1"/>
  <c r="E37" i="10"/>
  <c r="E38" i="10" s="1"/>
  <c r="B8" i="3" s="1"/>
  <c r="C8" i="3" s="1"/>
  <c r="F8" i="3" s="1"/>
  <c r="G8" i="3" s="1"/>
  <c r="E38" i="9"/>
  <c r="E39" i="9" s="1"/>
  <c r="B7" i="3" s="1"/>
  <c r="C7" i="3" s="1"/>
  <c r="F7" i="3" s="1"/>
  <c r="G7" i="3" s="1"/>
  <c r="E38" i="8"/>
  <c r="E39" i="8" s="1"/>
  <c r="E38" i="7"/>
  <c r="E39" i="7" s="1"/>
  <c r="E62" i="2"/>
  <c r="E63" i="2" s="1"/>
  <c r="B6" i="3" l="1"/>
  <c r="C6" i="3" s="1"/>
  <c r="F6" i="3" s="1"/>
  <c r="G6" i="3" s="1"/>
  <c r="B5" i="3"/>
  <c r="C5" i="3" s="1"/>
  <c r="F5" i="3" s="1"/>
  <c r="G5" i="3" s="1"/>
</calcChain>
</file>

<file path=xl/sharedStrings.xml><?xml version="1.0" encoding="utf-8"?>
<sst xmlns="http://schemas.openxmlformats.org/spreadsheetml/2006/main" count="829" uniqueCount="82">
  <si>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</si>
  <si>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</si>
  <si>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</si>
  <si>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</si>
  <si>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</si>
  <si>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</si>
  <si>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b/>
        <u/>
        <sz val="16"/>
        <rFont val="Calibri"/>
        <family val="1"/>
      </rPr>
      <t>A2. Bromo 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</si>
  <si>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</si>
  <si>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</si>
  <si>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</si>
  <si>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</si>
  <si>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</si>
  <si>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</si>
  <si>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</si>
  <si>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</si>
  <si>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</si>
  <si>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</si>
  <si>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</si>
  <si>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</si>
  <si>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</si>
  <si>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</si>
  <si>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</si>
  <si>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</si>
  <si>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</si>
  <si>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</si>
  <si>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</si>
  <si>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</si>
  <si>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</si>
  <si>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</si>
  <si>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</si>
  <si>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</si>
  <si>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</si>
  <si>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</si>
  <si>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</si>
  <si>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</si>
  <si>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</si>
  <si>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</si>
  <si>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</si>
  <si>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</si>
  <si>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</si>
  <si>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</si>
  <si>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</si>
  <si>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</si>
  <si>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</si>
  <si>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</si>
  <si>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</si>
  <si>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</si>
  <si>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</si>
  <si>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</si>
  <si>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</si>
  <si>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</si>
  <si>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</si>
  <si>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</si>
  <si>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</si>
  <si>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Probolinggo + Malang</t>
  </si>
  <si>
    <t>Escort Guide</t>
  </si>
  <si>
    <t>Driver Only</t>
  </si>
  <si>
    <t>C4. Transport Bali</t>
  </si>
  <si>
    <t>Transport Bali</t>
  </si>
  <si>
    <t>Madakaripura Local Guide</t>
  </si>
  <si>
    <t>Ijen Local Guide</t>
  </si>
  <si>
    <t>Package Name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</si>
  <si>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</si>
  <si>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</si>
  <si>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</si>
  <si>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</si>
  <si>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</si>
  <si>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</si>
  <si>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</si>
  <si>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</si>
  <si>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</si>
  <si>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</si>
  <si>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</si>
  <si>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</si>
  <si>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</si>
  <si>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</si>
  <si>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Riverside - Lunch</t>
  </si>
  <si>
    <t>Riverside - Dinner</t>
  </si>
  <si>
    <t>Medical Check up</t>
  </si>
  <si>
    <t>3 Day Bromo, Madakaripura Waterfall &amp; Ijen Overland from Surabaya to Bali</t>
  </si>
  <si>
    <t>Price Per Pax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</si>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</sst>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0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  <xf numFmtId="164" fontId="0" fillId="0" borderId="0" xfId="0" applyNumberFormat="1" applyAlignment="1">
      <alignment horizontal="left" vertical="top"/>
    </xf>
    <xf numFmtId="165" fontId="13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63"/>
  <sheetViews>
    <sheetView zoomScale="104" zoomScaleNormal="104" workbookViewId="0">
      <selection activeCell="C19" sqref="C19"/>
    </sheetView>
  </sheetViews>
  <sheetFormatPr defaultColWidth="9" defaultRowHeight="12.75" x14ac:dyDescent="0.2"/>
  <cols>
    <col min="1" max="1" width="96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</row>
    <row r="2" spans="1:14" ht="27.75" customHeight="1" x14ac:dyDescent="0.2">
      <c r="A2" s="3" t="s">
        <v>79</v>
      </c>
      <c r="B2" s="3"/>
      <c r="C2" s="3">
        <v>3</v>
      </c>
      <c r="D2" s="50">
        <v>1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1</v>
      </c>
      <c r="E7" s="46">
        <f t="shared" ref="E7" si="0">C7*D7</f>
        <v>337500</v>
      </c>
    </row>
    <row r="8" spans="1:14" ht="22.5" customHeight="1" x14ac:dyDescent="0.25">
      <c r="A8" s="10" t="s">
        <v>51</v>
      </c>
      <c r="B8" s="11" t="s">
        <v>5</v>
      </c>
      <c r="C8" s="46">
        <v>375000</v>
      </c>
      <c r="D8" s="12"/>
      <c r="E8" s="46">
        <f t="shared" ref="E8:E32" si="1">C8*D8</f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50</v>
      </c>
      <c r="B9" s="11" t="s">
        <v>5</v>
      </c>
      <c r="C9" s="46">
        <v>412500</v>
      </c>
      <c r="D9" s="12"/>
      <c r="E9" s="46">
        <f t="shared" si="1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52</v>
      </c>
      <c r="B10" s="11" t="s">
        <v>5</v>
      </c>
      <c r="C10" s="46">
        <v>487500</v>
      </c>
      <c r="D10" s="12"/>
      <c r="E10" s="46">
        <f t="shared" si="1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53</v>
      </c>
      <c r="B11" s="11" t="s">
        <v>5</v>
      </c>
      <c r="C11" s="46">
        <v>562500</v>
      </c>
      <c r="D11" s="12"/>
      <c r="E11" s="46">
        <f t="shared" si="1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7"/>
      <c r="D12" s="12"/>
      <c r="E12" s="46"/>
    </row>
    <row r="13" spans="1:14" ht="22.5" customHeight="1" x14ac:dyDescent="0.2">
      <c r="A13" s="10" t="s">
        <v>46</v>
      </c>
      <c r="B13" s="11" t="s">
        <v>5</v>
      </c>
      <c r="C13" s="46">
        <v>750000</v>
      </c>
      <c r="D13" s="12">
        <f>ROUNDUP(D2/2,0)</f>
        <v>1</v>
      </c>
      <c r="E13" s="46">
        <f t="shared" si="1"/>
        <v>750000</v>
      </c>
    </row>
    <row r="14" spans="1:14" ht="22.5" customHeight="1" x14ac:dyDescent="0.2">
      <c r="A14" s="10" t="s">
        <v>47</v>
      </c>
      <c r="B14" s="11" t="s">
        <v>5</v>
      </c>
      <c r="C14" s="46">
        <v>950000</v>
      </c>
      <c r="D14" s="12"/>
      <c r="E14" s="46">
        <f t="shared" si="1"/>
        <v>0</v>
      </c>
    </row>
    <row r="15" spans="1:14" ht="22.5" customHeight="1" x14ac:dyDescent="0.2">
      <c r="A15" s="10" t="s">
        <v>48</v>
      </c>
      <c r="B15" s="11" t="s">
        <v>5</v>
      </c>
      <c r="C15" s="46">
        <v>300000</v>
      </c>
      <c r="D15" s="12"/>
      <c r="E15" s="46">
        <f t="shared" si="1"/>
        <v>0</v>
      </c>
    </row>
    <row r="16" spans="1:14" ht="22.5" customHeight="1" x14ac:dyDescent="0.3">
      <c r="A16" s="6" t="s">
        <v>7</v>
      </c>
      <c r="B16" s="7"/>
      <c r="C16" s="47"/>
      <c r="D16" s="12"/>
      <c r="E16" s="46">
        <f t="shared" si="1"/>
        <v>0</v>
      </c>
    </row>
    <row r="17" spans="1:5" ht="22.5" customHeight="1" x14ac:dyDescent="0.3">
      <c r="A17" s="9" t="s">
        <v>8</v>
      </c>
      <c r="B17" s="7"/>
      <c r="C17" s="47"/>
      <c r="D17" s="12"/>
      <c r="E17" s="46">
        <f t="shared" si="1"/>
        <v>0</v>
      </c>
    </row>
    <row r="18" spans="1:5" ht="22.5" customHeight="1" x14ac:dyDescent="0.2">
      <c r="A18" s="10" t="s">
        <v>44</v>
      </c>
      <c r="B18" s="11" t="s">
        <v>9</v>
      </c>
      <c r="C18" s="46">
        <v>75000</v>
      </c>
      <c r="D18" s="12">
        <f>D2</f>
        <v>1</v>
      </c>
      <c r="E18" s="46">
        <f t="shared" si="1"/>
        <v>75000</v>
      </c>
    </row>
    <row r="19" spans="1:5" ht="22.5" customHeight="1" x14ac:dyDescent="0.2">
      <c r="A19" s="13" t="s">
        <v>78</v>
      </c>
      <c r="B19" s="11" t="s">
        <v>9</v>
      </c>
      <c r="C19" s="46">
        <v>35000</v>
      </c>
      <c r="D19" s="12"/>
      <c r="E19" s="46">
        <f t="shared" si="1"/>
        <v>0</v>
      </c>
    </row>
    <row r="20" spans="1:5" ht="22.5" customHeight="1" x14ac:dyDescent="0.2">
      <c r="A20" s="10" t="s">
        <v>10</v>
      </c>
      <c r="B20" s="11" t="s">
        <v>9</v>
      </c>
      <c r="C20" s="46">
        <v>25000</v>
      </c>
      <c r="D20" s="12">
        <f>D2</f>
        <v>1</v>
      </c>
      <c r="E20" s="46">
        <f t="shared" si="1"/>
        <v>25000</v>
      </c>
    </row>
    <row r="21" spans="1:5" ht="22.5" customHeight="1" x14ac:dyDescent="0.2">
      <c r="A21" s="10" t="s">
        <v>60</v>
      </c>
      <c r="B21" s="11" t="s">
        <v>5</v>
      </c>
      <c r="C21" s="46">
        <v>250000</v>
      </c>
      <c r="D21" s="12">
        <v>1</v>
      </c>
      <c r="E21" s="46">
        <f t="shared" si="1"/>
        <v>250000</v>
      </c>
    </row>
    <row r="22" spans="1:5" ht="22.5" customHeight="1" x14ac:dyDescent="0.2">
      <c r="A22" s="13" t="s">
        <v>76</v>
      </c>
      <c r="B22" s="11" t="s">
        <v>9</v>
      </c>
      <c r="C22" s="46">
        <v>65000</v>
      </c>
      <c r="D22" s="12"/>
      <c r="E22" s="46">
        <f t="shared" si="1"/>
        <v>0</v>
      </c>
    </row>
    <row r="23" spans="1:5" ht="22.5" customHeight="1" x14ac:dyDescent="0.2">
      <c r="A23" s="13" t="s">
        <v>77</v>
      </c>
      <c r="B23" s="11" t="s">
        <v>9</v>
      </c>
      <c r="C23" s="46">
        <v>65000</v>
      </c>
      <c r="D23" s="12">
        <f>D2</f>
        <v>1</v>
      </c>
      <c r="E23" s="46">
        <f t="shared" si="1"/>
        <v>65000</v>
      </c>
    </row>
    <row r="24" spans="1:5" ht="22.5" customHeight="1" x14ac:dyDescent="0.2">
      <c r="A24" s="10" t="s">
        <v>41</v>
      </c>
      <c r="B24" s="11" t="s">
        <v>9</v>
      </c>
      <c r="C24" s="46">
        <v>60000</v>
      </c>
      <c r="D24" s="12"/>
      <c r="E24" s="46">
        <f t="shared" si="1"/>
        <v>0</v>
      </c>
    </row>
    <row r="25" spans="1:5" ht="22.5" customHeight="1" x14ac:dyDescent="0.2">
      <c r="A25" s="10" t="s">
        <v>42</v>
      </c>
      <c r="B25" s="11" t="s">
        <v>9</v>
      </c>
      <c r="C25" s="46">
        <v>60000</v>
      </c>
      <c r="D25" s="12"/>
      <c r="E25" s="46">
        <f t="shared" si="1"/>
        <v>0</v>
      </c>
    </row>
    <row r="26" spans="1:5" ht="22.5" customHeight="1" x14ac:dyDescent="0.2">
      <c r="A26" s="13" t="s">
        <v>11</v>
      </c>
      <c r="B26" s="11" t="s">
        <v>5</v>
      </c>
      <c r="C26" s="46">
        <v>35000</v>
      </c>
      <c r="D26" s="12"/>
      <c r="E26" s="46">
        <f t="shared" si="1"/>
        <v>0</v>
      </c>
    </row>
    <row r="27" spans="1:5" ht="22.5" customHeight="1" x14ac:dyDescent="0.3">
      <c r="A27" s="9" t="s">
        <v>12</v>
      </c>
      <c r="B27" s="7"/>
      <c r="C27" s="48"/>
      <c r="D27" s="12"/>
      <c r="E27" s="46"/>
    </row>
    <row r="28" spans="1:5" ht="22.5" customHeight="1" x14ac:dyDescent="0.2">
      <c r="A28" s="10" t="s">
        <v>43</v>
      </c>
      <c r="B28" s="11" t="s">
        <v>9</v>
      </c>
      <c r="C28" s="46">
        <v>160000</v>
      </c>
      <c r="D28" s="12">
        <f>D2</f>
        <v>1</v>
      </c>
      <c r="E28" s="46">
        <f t="shared" si="1"/>
        <v>160000</v>
      </c>
    </row>
    <row r="29" spans="1:5" ht="22.5" customHeight="1" x14ac:dyDescent="0.2">
      <c r="A29" s="13" t="s">
        <v>13</v>
      </c>
      <c r="B29" s="11" t="s">
        <v>9</v>
      </c>
      <c r="C29" s="46">
        <v>500000</v>
      </c>
      <c r="D29" s="12">
        <f>ROUNDUP(D2/4,0)</f>
        <v>1</v>
      </c>
      <c r="E29" s="46">
        <f t="shared" si="1"/>
        <v>500000</v>
      </c>
    </row>
    <row r="30" spans="1:5" ht="22.5" customHeight="1" x14ac:dyDescent="0.3">
      <c r="A30" s="15" t="s">
        <v>14</v>
      </c>
      <c r="B30" s="7"/>
      <c r="C30" s="48"/>
      <c r="D30" s="12"/>
      <c r="E30" s="46"/>
    </row>
    <row r="31" spans="1:5" ht="22.5" customHeight="1" x14ac:dyDescent="0.2">
      <c r="A31" s="13" t="s">
        <v>15</v>
      </c>
      <c r="B31" s="11" t="s">
        <v>9</v>
      </c>
      <c r="C31" s="46">
        <v>90000</v>
      </c>
      <c r="D31" s="12">
        <f>D2</f>
        <v>1</v>
      </c>
      <c r="E31" s="46">
        <f t="shared" si="1"/>
        <v>90000</v>
      </c>
    </row>
    <row r="32" spans="1:5" ht="22.5" customHeight="1" x14ac:dyDescent="0.2">
      <c r="A32" s="10" t="s">
        <v>59</v>
      </c>
      <c r="B32" s="11" t="s">
        <v>5</v>
      </c>
      <c r="C32" s="46">
        <v>100000</v>
      </c>
      <c r="D32" s="12">
        <v>1</v>
      </c>
      <c r="E32" s="46">
        <f t="shared" si="1"/>
        <v>100000</v>
      </c>
    </row>
    <row r="33" spans="1:5" ht="22.5" customHeight="1" x14ac:dyDescent="0.3">
      <c r="A33" s="16" t="s">
        <v>16</v>
      </c>
      <c r="B33" s="7"/>
      <c r="C33" s="47"/>
      <c r="D33" s="12"/>
      <c r="E33" s="46"/>
    </row>
    <row r="34" spans="1:5" ht="22.5" customHeight="1" x14ac:dyDescent="0.3">
      <c r="A34" s="9" t="s">
        <v>17</v>
      </c>
      <c r="B34" s="7"/>
      <c r="C34" s="47"/>
      <c r="D34" s="12"/>
      <c r="E34" s="46"/>
    </row>
    <row r="35" spans="1:5" ht="22.5" customHeight="1" x14ac:dyDescent="0.2">
      <c r="A35" s="13" t="s">
        <v>18</v>
      </c>
      <c r="B35" s="11" t="s">
        <v>19</v>
      </c>
      <c r="C35" s="46">
        <v>450000</v>
      </c>
      <c r="D35" s="12">
        <f>IF($D$2=1,$C$2, IF($D$2=2,$C$2,0))</f>
        <v>3</v>
      </c>
      <c r="E35" s="46">
        <f t="shared" ref="E35:E60" si="2">C35*D35</f>
        <v>1350000</v>
      </c>
    </row>
    <row r="36" spans="1:5" ht="22.5" customHeight="1" x14ac:dyDescent="0.2">
      <c r="A36" s="13" t="s">
        <v>20</v>
      </c>
      <c r="B36" s="11" t="s">
        <v>19</v>
      </c>
      <c r="C36" s="46">
        <v>550000</v>
      </c>
      <c r="D36" s="12">
        <f>IF($D$2=3,$C$2, 0)</f>
        <v>0</v>
      </c>
      <c r="E36" s="46">
        <f t="shared" si="2"/>
        <v>0</v>
      </c>
    </row>
    <row r="37" spans="1:5" ht="22.5" customHeight="1" x14ac:dyDescent="0.2">
      <c r="A37" s="10" t="s">
        <v>21</v>
      </c>
      <c r="B37" s="11" t="s">
        <v>19</v>
      </c>
      <c r="C37" s="46">
        <v>1100000</v>
      </c>
      <c r="D37" s="12">
        <f>IF((($D$2&gt;=4)*($D$2&lt;=11))=1,$C$2,0)</f>
        <v>0</v>
      </c>
      <c r="E37" s="46">
        <f t="shared" si="2"/>
        <v>0</v>
      </c>
    </row>
    <row r="38" spans="1:5" ht="22.5" customHeight="1" x14ac:dyDescent="0.2">
      <c r="A38" s="13" t="s">
        <v>22</v>
      </c>
      <c r="B38" s="11" t="s">
        <v>19</v>
      </c>
      <c r="C38" s="46">
        <v>1300000</v>
      </c>
      <c r="D38" s="12"/>
      <c r="E38" s="46">
        <f t="shared" si="2"/>
        <v>0</v>
      </c>
    </row>
    <row r="39" spans="1:5" ht="22.5" customHeight="1" x14ac:dyDescent="0.2">
      <c r="A39" s="10" t="s">
        <v>75</v>
      </c>
      <c r="B39" s="11" t="s">
        <v>19</v>
      </c>
      <c r="C39" s="46">
        <f>250000+200000+200000</f>
        <v>650000</v>
      </c>
      <c r="D39" s="12">
        <v>0</v>
      </c>
      <c r="E39" s="46">
        <f t="shared" ref="E39" si="3">C39*D39</f>
        <v>0</v>
      </c>
    </row>
    <row r="40" spans="1:5" ht="22.5" customHeight="1" x14ac:dyDescent="0.3">
      <c r="A40" s="9" t="s">
        <v>23</v>
      </c>
      <c r="B40" s="7"/>
      <c r="C40" s="47"/>
      <c r="D40" s="12"/>
      <c r="E40" s="46"/>
    </row>
    <row r="41" spans="1:5" ht="22.5" customHeight="1" x14ac:dyDescent="0.2">
      <c r="A41" s="13" t="s">
        <v>24</v>
      </c>
      <c r="B41" s="11" t="s">
        <v>5</v>
      </c>
      <c r="C41" s="46">
        <v>200000</v>
      </c>
      <c r="D41" s="12">
        <f>IF((($D$2&gt;=10)*($D$2&lt;=11))=1,2,1)</f>
        <v>1</v>
      </c>
      <c r="E41" s="46">
        <f t="shared" si="2"/>
        <v>200000</v>
      </c>
    </row>
    <row r="42" spans="1:5" ht="22.5" customHeight="1" x14ac:dyDescent="0.2">
      <c r="A42" s="10" t="s">
        <v>54</v>
      </c>
      <c r="B42" s="11" t="s">
        <v>5</v>
      </c>
      <c r="C42" s="46">
        <v>300000</v>
      </c>
      <c r="D42" s="12"/>
      <c r="E42" s="46">
        <f t="shared" si="2"/>
        <v>0</v>
      </c>
    </row>
    <row r="43" spans="1:5" ht="22.5" customHeight="1" x14ac:dyDescent="0.3">
      <c r="A43" s="9" t="s">
        <v>25</v>
      </c>
      <c r="B43" s="7"/>
      <c r="C43" s="47"/>
      <c r="D43" s="12"/>
      <c r="E43" s="46">
        <f t="shared" si="2"/>
        <v>0</v>
      </c>
    </row>
    <row r="44" spans="1:5" ht="22.5" customHeight="1" x14ac:dyDescent="0.2">
      <c r="A44" s="13" t="s">
        <v>26</v>
      </c>
      <c r="B44" s="11" t="s">
        <v>27</v>
      </c>
      <c r="C44" s="46">
        <v>200000</v>
      </c>
      <c r="D44" s="12"/>
      <c r="E44" s="46">
        <f t="shared" si="2"/>
        <v>0</v>
      </c>
    </row>
    <row r="45" spans="1:5" ht="22.5" customHeight="1" x14ac:dyDescent="0.3">
      <c r="A45" s="15" t="s">
        <v>57</v>
      </c>
      <c r="B45" s="7"/>
      <c r="C45" s="47"/>
      <c r="D45" s="12"/>
      <c r="E45" s="46">
        <f t="shared" si="2"/>
        <v>0</v>
      </c>
    </row>
    <row r="46" spans="1:5" ht="22.5" customHeight="1" x14ac:dyDescent="0.2">
      <c r="A46" s="10" t="s">
        <v>58</v>
      </c>
      <c r="B46" s="11" t="s">
        <v>27</v>
      </c>
      <c r="C46" s="46">
        <v>650000</v>
      </c>
      <c r="D46" s="12"/>
      <c r="E46" s="46">
        <f t="shared" si="2"/>
        <v>0</v>
      </c>
    </row>
    <row r="47" spans="1:5" ht="22.5" customHeight="1" x14ac:dyDescent="0.3">
      <c r="A47" s="16" t="s">
        <v>28</v>
      </c>
      <c r="B47" s="7"/>
      <c r="C47" s="47"/>
      <c r="D47" s="12"/>
      <c r="E47" s="46">
        <f t="shared" si="2"/>
        <v>0</v>
      </c>
    </row>
    <row r="48" spans="1:5" ht="22.5" customHeight="1" x14ac:dyDescent="0.3">
      <c r="A48" s="9" t="s">
        <v>29</v>
      </c>
      <c r="B48" s="7"/>
      <c r="C48" s="47"/>
      <c r="D48" s="12"/>
      <c r="E48" s="46">
        <f t="shared" si="2"/>
        <v>0</v>
      </c>
    </row>
    <row r="49" spans="1:5" ht="22.5" customHeight="1" x14ac:dyDescent="0.2">
      <c r="A49" s="13" t="s">
        <v>30</v>
      </c>
      <c r="B49" s="11" t="s">
        <v>19</v>
      </c>
      <c r="C49" s="46">
        <v>250000</v>
      </c>
      <c r="D49" s="12">
        <f>IF((($D$2&gt;=1)*($D$2&lt;=3))=1,$C$2,0)</f>
        <v>3</v>
      </c>
      <c r="E49" s="46">
        <f t="shared" si="2"/>
        <v>750000</v>
      </c>
    </row>
    <row r="50" spans="1:5" ht="22.5" customHeight="1" x14ac:dyDescent="0.2">
      <c r="A50" s="10" t="s">
        <v>55</v>
      </c>
      <c r="B50" s="11" t="s">
        <v>19</v>
      </c>
      <c r="C50" s="46">
        <v>250000</v>
      </c>
      <c r="D50" s="12">
        <f>IF((($D$2&gt;=4)*($D$2&lt;=11))=1,$C$2,0)</f>
        <v>0</v>
      </c>
      <c r="E50" s="46">
        <f t="shared" si="2"/>
        <v>0</v>
      </c>
    </row>
    <row r="51" spans="1:5" ht="22.5" customHeight="1" x14ac:dyDescent="0.2">
      <c r="A51" s="10" t="s">
        <v>56</v>
      </c>
      <c r="B51" s="11" t="s">
        <v>19</v>
      </c>
      <c r="C51" s="46">
        <v>200000</v>
      </c>
      <c r="D51" s="12"/>
      <c r="E51" s="46">
        <f t="shared" si="2"/>
        <v>0</v>
      </c>
    </row>
    <row r="52" spans="1:5" ht="22.5" customHeight="1" x14ac:dyDescent="0.3">
      <c r="A52" s="16" t="s">
        <v>31</v>
      </c>
      <c r="B52" s="7"/>
      <c r="C52" s="47"/>
      <c r="D52" s="12"/>
      <c r="E52" s="46">
        <f t="shared" si="2"/>
        <v>0</v>
      </c>
    </row>
    <row r="53" spans="1:5" ht="22.5" customHeight="1" x14ac:dyDescent="0.3">
      <c r="A53" s="9" t="s">
        <v>32</v>
      </c>
      <c r="B53" s="7"/>
      <c r="C53" s="47"/>
      <c r="D53" s="12"/>
      <c r="E53" s="46">
        <f t="shared" si="2"/>
        <v>0</v>
      </c>
    </row>
    <row r="54" spans="1:5" ht="22.5" customHeight="1" x14ac:dyDescent="0.2">
      <c r="A54" s="13" t="s">
        <v>33</v>
      </c>
      <c r="B54" s="11" t="s">
        <v>66</v>
      </c>
      <c r="C54" s="46">
        <v>50000</v>
      </c>
      <c r="D54" s="12">
        <f>ROUNDUP(D2*C2*3/24,0)</f>
        <v>1</v>
      </c>
      <c r="E54" s="46">
        <f t="shared" si="2"/>
        <v>50000</v>
      </c>
    </row>
    <row r="55" spans="1:5" ht="22.5" customHeight="1" x14ac:dyDescent="0.2">
      <c r="A55" s="13" t="s">
        <v>35</v>
      </c>
      <c r="B55" s="11" t="s">
        <v>34</v>
      </c>
      <c r="C55" s="46">
        <v>100000</v>
      </c>
      <c r="D55" s="12">
        <v>1</v>
      </c>
      <c r="E55" s="46">
        <f t="shared" si="2"/>
        <v>100000</v>
      </c>
    </row>
    <row r="56" spans="1:5" ht="22.5" customHeight="1" x14ac:dyDescent="0.2">
      <c r="A56" s="13" t="s">
        <v>36</v>
      </c>
      <c r="B56" s="11" t="s">
        <v>9</v>
      </c>
      <c r="C56" s="46">
        <v>60000</v>
      </c>
      <c r="D56" s="12">
        <f>D2</f>
        <v>1</v>
      </c>
      <c r="E56" s="46">
        <f t="shared" si="2"/>
        <v>60000</v>
      </c>
    </row>
    <row r="57" spans="1:5" ht="22.5" customHeight="1" x14ac:dyDescent="0.3">
      <c r="A57" s="9" t="s">
        <v>37</v>
      </c>
      <c r="B57" s="7"/>
      <c r="C57" s="14"/>
      <c r="D57" s="12"/>
      <c r="E57" s="46">
        <f t="shared" si="2"/>
        <v>0</v>
      </c>
    </row>
    <row r="58" spans="1:5" ht="22.5" customHeight="1" x14ac:dyDescent="0.2">
      <c r="A58" s="13" t="s">
        <v>38</v>
      </c>
      <c r="B58" s="11" t="s">
        <v>27</v>
      </c>
      <c r="C58" s="12">
        <v>2000000</v>
      </c>
      <c r="D58" s="12"/>
      <c r="E58" s="46">
        <f t="shared" si="2"/>
        <v>0</v>
      </c>
    </row>
    <row r="59" spans="1:5" ht="22.5" customHeight="1" x14ac:dyDescent="0.3">
      <c r="A59" s="9" t="s">
        <v>39</v>
      </c>
      <c r="B59" s="7"/>
      <c r="C59" s="14"/>
      <c r="D59" s="12"/>
      <c r="E59" s="46">
        <f t="shared" si="2"/>
        <v>0</v>
      </c>
    </row>
    <row r="60" spans="1:5" ht="22.5" customHeight="1" x14ac:dyDescent="0.2">
      <c r="A60" s="13" t="s">
        <v>40</v>
      </c>
      <c r="B60" s="11" t="s">
        <v>9</v>
      </c>
      <c r="C60" s="12">
        <v>16000</v>
      </c>
      <c r="D60" s="12">
        <f>D2</f>
        <v>1</v>
      </c>
      <c r="E60" s="46">
        <f t="shared" si="2"/>
        <v>16000</v>
      </c>
    </row>
    <row r="61" spans="1:5" ht="22.5" customHeight="1" x14ac:dyDescent="0.2">
      <c r="A61" s="10" t="s">
        <v>45</v>
      </c>
      <c r="B61" s="11" t="s">
        <v>5</v>
      </c>
      <c r="C61" s="12">
        <v>100000</v>
      </c>
      <c r="D61" s="12"/>
      <c r="E61" s="46">
        <f>C61*D61</f>
        <v>0</v>
      </c>
    </row>
    <row r="62" spans="1:5" s="1" customFormat="1" ht="30" customHeight="1" x14ac:dyDescent="0.2">
      <c r="A62" s="18" t="s">
        <v>67</v>
      </c>
      <c r="B62" s="17"/>
      <c r="C62" s="5"/>
      <c r="D62" s="12"/>
      <c r="E62" s="49">
        <f>SUM(E7:E61)</f>
        <v>4878500</v>
      </c>
    </row>
    <row r="63" spans="1:5" ht="36" customHeight="1" x14ac:dyDescent="0.2">
      <c r="A63" s="18" t="s">
        <v>72</v>
      </c>
      <c r="B63" s="8"/>
      <c r="C63" s="8"/>
      <c r="D63" s="8"/>
      <c r="E63" s="49">
        <f>E62/D2</f>
        <v>4878500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sheetPr>
    <pageSetUpPr fitToPage="1"/>
  </sheetPr>
  <dimension ref="A1:H15"/>
  <sheetViews>
    <sheetView zoomScale="125" workbookViewId="0">
      <selection activeCell="G18" sqref="G18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  <col min="8" max="8" width="12.33203125" bestFit="1" customWidth="1"/>
  </cols>
  <sheetData>
    <row r="1" spans="1:8" ht="25.5" customHeight="1" x14ac:dyDescent="0.2">
      <c r="A1" s="43" t="s">
        <v>61</v>
      </c>
      <c r="B1" s="44"/>
      <c r="C1" s="44"/>
      <c r="D1" s="44"/>
      <c r="E1" s="43"/>
      <c r="G1" s="43" t="s">
        <v>62</v>
      </c>
    </row>
    <row r="2" spans="1:8" ht="27.75" customHeight="1" x14ac:dyDescent="0.2">
      <c r="A2" s="45" t="s">
        <v>79</v>
      </c>
      <c r="B2" s="44"/>
      <c r="C2" s="44"/>
      <c r="D2" s="44"/>
      <c r="E2" s="45"/>
      <c r="G2" s="45">
        <v>3</v>
      </c>
    </row>
    <row r="3" spans="1:8" ht="27.75" customHeight="1" x14ac:dyDescent="0.2">
      <c r="A3" s="42"/>
      <c r="B3" s="42"/>
      <c r="C3" s="42"/>
      <c r="D3" s="42"/>
    </row>
    <row r="4" spans="1:8" ht="15" x14ac:dyDescent="0.25">
      <c r="A4" s="19" t="s">
        <v>68</v>
      </c>
      <c r="B4" s="19" t="s">
        <v>72</v>
      </c>
      <c r="C4" s="19" t="s">
        <v>67</v>
      </c>
      <c r="D4" s="19" t="s">
        <v>73</v>
      </c>
      <c r="E4" s="19" t="s">
        <v>74</v>
      </c>
      <c r="F4" s="19" t="s">
        <v>69</v>
      </c>
      <c r="G4" s="19" t="s">
        <v>70</v>
      </c>
    </row>
    <row r="5" spans="1:8" ht="15" x14ac:dyDescent="0.25">
      <c r="A5" s="20" t="s">
        <v>71</v>
      </c>
      <c r="B5" s="21">
        <f>'1 Pax'!E39</f>
        <v>4913500</v>
      </c>
      <c r="C5" s="22">
        <f>B5*A5</f>
        <v>4913500</v>
      </c>
      <c r="D5" s="21">
        <v>6300000</v>
      </c>
      <c r="E5" s="21">
        <f>D5*A5</f>
        <v>6300000</v>
      </c>
      <c r="F5" s="21">
        <f t="shared" ref="F5:F15" si="0">E5-C5</f>
        <v>1386500</v>
      </c>
      <c r="G5" s="21">
        <f>F5/E5*100</f>
        <v>22.007936507936506</v>
      </c>
      <c r="H5" s="51"/>
    </row>
    <row r="6" spans="1:8" ht="15" x14ac:dyDescent="0.25">
      <c r="A6" s="23">
        <v>2</v>
      </c>
      <c r="B6" s="24">
        <f>'2 Pax'!E39</f>
        <v>2719750</v>
      </c>
      <c r="C6" s="25">
        <f t="shared" ref="C6:C15" si="1">B6*A6</f>
        <v>5439500</v>
      </c>
      <c r="D6" s="24">
        <v>3570000</v>
      </c>
      <c r="E6" s="24">
        <f t="shared" ref="E6:E15" si="2">D6*A6</f>
        <v>7140000</v>
      </c>
      <c r="F6" s="24">
        <f t="shared" si="0"/>
        <v>1700500</v>
      </c>
      <c r="G6" s="24">
        <f t="shared" ref="G6:G15" si="3">F6/E6*100</f>
        <v>23.816526610644257</v>
      </c>
      <c r="H6" s="51"/>
    </row>
    <row r="7" spans="1:8" ht="15" x14ac:dyDescent="0.25">
      <c r="A7" s="26">
        <v>3</v>
      </c>
      <c r="B7" s="27">
        <f>'3 Pax'!E39</f>
        <v>2146833.3333333335</v>
      </c>
      <c r="C7" s="27">
        <f t="shared" si="1"/>
        <v>6440500</v>
      </c>
      <c r="D7" s="28">
        <v>3275000</v>
      </c>
      <c r="E7" s="28">
        <f t="shared" si="2"/>
        <v>9825000</v>
      </c>
      <c r="F7" s="28">
        <f t="shared" si="0"/>
        <v>3384500</v>
      </c>
      <c r="G7" s="28">
        <f t="shared" si="3"/>
        <v>34.447837150127228</v>
      </c>
      <c r="H7" s="51"/>
    </row>
    <row r="8" spans="1:8" ht="15" x14ac:dyDescent="0.25">
      <c r="A8" s="26">
        <v>4</v>
      </c>
      <c r="B8" s="27">
        <f>'4 Pax'!E38</f>
        <v>2332250</v>
      </c>
      <c r="C8" s="27">
        <f t="shared" si="1"/>
        <v>9329000</v>
      </c>
      <c r="D8" s="28">
        <v>3050000</v>
      </c>
      <c r="E8" s="28">
        <f t="shared" si="2"/>
        <v>12200000</v>
      </c>
      <c r="F8" s="28">
        <f t="shared" si="0"/>
        <v>2871000</v>
      </c>
      <c r="G8" s="28">
        <f t="shared" si="3"/>
        <v>23.532786885245901</v>
      </c>
      <c r="H8" s="51"/>
    </row>
    <row r="9" spans="1:8" ht="15" x14ac:dyDescent="0.25">
      <c r="A9" s="32">
        <v>5</v>
      </c>
      <c r="B9" s="33">
        <f>'5 Pax'!E41</f>
        <v>2206000</v>
      </c>
      <c r="C9" s="33">
        <f t="shared" si="1"/>
        <v>11030000</v>
      </c>
      <c r="D9" s="34">
        <v>3050000</v>
      </c>
      <c r="E9" s="34">
        <f t="shared" si="2"/>
        <v>15250000</v>
      </c>
      <c r="F9" s="34">
        <f t="shared" si="0"/>
        <v>4220000</v>
      </c>
      <c r="G9" s="34">
        <f t="shared" si="3"/>
        <v>27.672131147540984</v>
      </c>
      <c r="H9" s="51"/>
    </row>
    <row r="10" spans="1:8" ht="15" x14ac:dyDescent="0.25">
      <c r="A10" s="32">
        <v>6</v>
      </c>
      <c r="B10" s="33">
        <f>'6 Pax'!E39</f>
        <v>2044750</v>
      </c>
      <c r="C10" s="33">
        <f t="shared" si="1"/>
        <v>12268500</v>
      </c>
      <c r="D10" s="34">
        <v>2850000</v>
      </c>
      <c r="E10" s="34">
        <f t="shared" si="2"/>
        <v>17100000</v>
      </c>
      <c r="F10" s="34">
        <f t="shared" si="0"/>
        <v>4831500</v>
      </c>
      <c r="G10" s="34">
        <f t="shared" si="3"/>
        <v>28.254385964912281</v>
      </c>
      <c r="H10" s="51"/>
    </row>
    <row r="11" spans="1:8" ht="15" x14ac:dyDescent="0.25">
      <c r="A11" s="32">
        <v>7</v>
      </c>
      <c r="B11" s="33">
        <f>'7 Pax'!E41</f>
        <v>1888500</v>
      </c>
      <c r="C11" s="33">
        <f t="shared" si="1"/>
        <v>13219500</v>
      </c>
      <c r="D11" s="34">
        <v>2850000</v>
      </c>
      <c r="E11" s="34">
        <f t="shared" si="2"/>
        <v>19950000</v>
      </c>
      <c r="F11" s="34">
        <f t="shared" si="0"/>
        <v>6730500</v>
      </c>
      <c r="G11" s="34">
        <f t="shared" si="3"/>
        <v>33.736842105263158</v>
      </c>
      <c r="H11" s="51"/>
    </row>
    <row r="12" spans="1:8" ht="15" x14ac:dyDescent="0.25">
      <c r="A12" s="35">
        <v>8</v>
      </c>
      <c r="B12" s="36">
        <f>'8 Pax'!E39</f>
        <v>1801000</v>
      </c>
      <c r="C12" s="37">
        <f t="shared" si="1"/>
        <v>14408000</v>
      </c>
      <c r="D12" s="38">
        <v>2550000</v>
      </c>
      <c r="E12" s="38">
        <f t="shared" si="2"/>
        <v>20400000</v>
      </c>
      <c r="F12" s="38">
        <f t="shared" si="0"/>
        <v>5992000</v>
      </c>
      <c r="G12" s="38">
        <f t="shared" si="3"/>
        <v>29.372549019607842</v>
      </c>
      <c r="H12" s="51"/>
    </row>
    <row r="13" spans="1:8" ht="15" x14ac:dyDescent="0.25">
      <c r="A13" s="35">
        <v>9</v>
      </c>
      <c r="B13" s="37">
        <f>'9 Pax'!E41</f>
        <v>1767666.6666666667</v>
      </c>
      <c r="C13" s="37">
        <f t="shared" si="1"/>
        <v>15909000</v>
      </c>
      <c r="D13" s="38">
        <v>2550000</v>
      </c>
      <c r="E13" s="38">
        <f t="shared" si="2"/>
        <v>22950000</v>
      </c>
      <c r="F13" s="38">
        <f t="shared" si="0"/>
        <v>7041000</v>
      </c>
      <c r="G13" s="38">
        <f t="shared" si="3"/>
        <v>30.679738562091501</v>
      </c>
      <c r="H13" s="51"/>
    </row>
    <row r="14" spans="1:8" ht="15" x14ac:dyDescent="0.25">
      <c r="A14" s="35">
        <v>10</v>
      </c>
      <c r="B14" s="37">
        <f>'10 Pax'!E40</f>
        <v>1924750</v>
      </c>
      <c r="C14" s="37">
        <f t="shared" si="1"/>
        <v>19247500</v>
      </c>
      <c r="D14" s="38">
        <v>2550000</v>
      </c>
      <c r="E14" s="38">
        <f t="shared" si="2"/>
        <v>25500000</v>
      </c>
      <c r="F14" s="38">
        <f t="shared" si="0"/>
        <v>6252500</v>
      </c>
      <c r="G14" s="38">
        <f t="shared" si="3"/>
        <v>24.519607843137255</v>
      </c>
      <c r="H14" s="51"/>
    </row>
    <row r="15" spans="1:8" ht="15" x14ac:dyDescent="0.25">
      <c r="A15" s="29">
        <v>11</v>
      </c>
      <c r="B15" s="30">
        <f>'11 Pax'!E42</f>
        <v>1840772.7272727273</v>
      </c>
      <c r="C15" s="30">
        <f t="shared" si="1"/>
        <v>20248500</v>
      </c>
      <c r="D15" s="31">
        <v>2450000</v>
      </c>
      <c r="E15" s="31">
        <f t="shared" si="2"/>
        <v>26950000</v>
      </c>
      <c r="F15" s="31">
        <f t="shared" si="0"/>
        <v>6701500</v>
      </c>
      <c r="G15" s="31">
        <f t="shared" si="3"/>
        <v>24.866419294990724</v>
      </c>
      <c r="H15" s="51"/>
    </row>
  </sheetData>
  <pageMargins left="0.25" right="0.25" top="0.75" bottom="0.75" header="0.3" footer="0.3"/>
  <pageSetup paperSize="10000" orientation="landscape" horizontalDpi="0" verticalDpi="0" r:id="rId1"/>
  <ignoredErrors>
    <ignoredError sqref="A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2AA2-84F6-FC47-8E7F-4286DE464127}">
  <sheetPr>
    <pageSetUpPr fitToPage="1"/>
  </sheetPr>
  <dimension ref="A1:E39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1</v>
      </c>
      <c r="E2" s="52">
        <v>6300000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1</v>
      </c>
      <c r="E7" s="46">
        <f t="shared" ref="E7:E22" si="0">C7*D7</f>
        <v>337500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1</v>
      </c>
      <c r="E9" s="46">
        <f t="shared" si="0"/>
        <v>750000</v>
      </c>
    </row>
    <row r="10" spans="1:5" ht="22.5" customHeight="1" x14ac:dyDescent="0.3">
      <c r="A10" s="6" t="s">
        <v>7</v>
      </c>
      <c r="B10" s="7"/>
      <c r="C10" s="47"/>
      <c r="D10" s="12"/>
      <c r="E10" s="46">
        <f t="shared" si="0"/>
        <v>0</v>
      </c>
    </row>
    <row r="11" spans="1:5" ht="22.5" customHeight="1" x14ac:dyDescent="0.3">
      <c r="A11" s="9" t="s">
        <v>8</v>
      </c>
      <c r="B11" s="7"/>
      <c r="C11" s="47"/>
      <c r="D11" s="12"/>
      <c r="E11" s="46">
        <f t="shared" si="0"/>
        <v>0</v>
      </c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1</v>
      </c>
      <c r="E12" s="46">
        <f t="shared" si="0"/>
        <v>75000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1</v>
      </c>
      <c r="E13" s="46">
        <f t="shared" si="0"/>
        <v>35000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1</v>
      </c>
      <c r="E14" s="46">
        <f t="shared" si="0"/>
        <v>25000</v>
      </c>
    </row>
    <row r="15" spans="1:5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5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1</v>
      </c>
      <c r="E16" s="46">
        <f t="shared" si="0"/>
        <v>65000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1</v>
      </c>
      <c r="E18" s="46">
        <f t="shared" si="0"/>
        <v>160000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1</v>
      </c>
      <c r="E19" s="46">
        <f t="shared" si="0"/>
        <v>500000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1</v>
      </c>
      <c r="E21" s="46">
        <f t="shared" si="0"/>
        <v>90000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3" t="s">
        <v>18</v>
      </c>
      <c r="B25" s="11" t="s">
        <v>19</v>
      </c>
      <c r="C25" s="46">
        <v>450000</v>
      </c>
      <c r="D25" s="12">
        <f>IF($D$2=1,$C$2, IF($D$2=2,$C$2,0))</f>
        <v>3</v>
      </c>
      <c r="E25" s="46">
        <f t="shared" ref="E25:E37" si="1">C25*D25</f>
        <v>1350000</v>
      </c>
    </row>
    <row r="26" spans="1:5" ht="22.5" customHeight="1" x14ac:dyDescent="0.3">
      <c r="A26" s="9" t="s">
        <v>23</v>
      </c>
      <c r="B26" s="7"/>
      <c r="C26" s="47"/>
      <c r="D26" s="12"/>
      <c r="E26" s="46"/>
    </row>
    <row r="27" spans="1:5" ht="22.5" customHeight="1" x14ac:dyDescent="0.2">
      <c r="A27" s="13" t="s">
        <v>24</v>
      </c>
      <c r="B27" s="11" t="s">
        <v>5</v>
      </c>
      <c r="C27" s="46">
        <v>200000</v>
      </c>
      <c r="D27" s="12">
        <f>IF((($D$2&gt;=10)*($D$2&lt;=11))=1,2,1)</f>
        <v>1</v>
      </c>
      <c r="E27" s="46">
        <f t="shared" si="1"/>
        <v>200000</v>
      </c>
    </row>
    <row r="28" spans="1:5" ht="22.5" customHeight="1" x14ac:dyDescent="0.3">
      <c r="A28" s="16" t="s">
        <v>28</v>
      </c>
      <c r="B28" s="7"/>
      <c r="C28" s="47"/>
      <c r="D28" s="12"/>
      <c r="E28" s="46">
        <f t="shared" si="1"/>
        <v>0</v>
      </c>
    </row>
    <row r="29" spans="1:5" ht="22.5" customHeight="1" x14ac:dyDescent="0.3">
      <c r="A29" s="9" t="s">
        <v>29</v>
      </c>
      <c r="B29" s="7"/>
      <c r="C29" s="47"/>
      <c r="D29" s="12"/>
      <c r="E29" s="46">
        <f t="shared" si="1"/>
        <v>0</v>
      </c>
    </row>
    <row r="30" spans="1:5" ht="22.5" customHeight="1" x14ac:dyDescent="0.2">
      <c r="A30" s="13" t="s">
        <v>30</v>
      </c>
      <c r="B30" s="11" t="s">
        <v>19</v>
      </c>
      <c r="C30" s="46">
        <v>250000</v>
      </c>
      <c r="D30" s="12">
        <f>IF((($D$2&gt;=1)*($D$2&lt;=3))=1,$C$2,0)</f>
        <v>3</v>
      </c>
      <c r="E30" s="46">
        <f t="shared" si="1"/>
        <v>750000</v>
      </c>
    </row>
    <row r="31" spans="1:5" ht="22.5" customHeight="1" x14ac:dyDescent="0.3">
      <c r="A31" s="16" t="s">
        <v>31</v>
      </c>
      <c r="B31" s="7"/>
      <c r="C31" s="47"/>
      <c r="D31" s="12"/>
      <c r="E31" s="46">
        <f t="shared" si="1"/>
        <v>0</v>
      </c>
    </row>
    <row r="32" spans="1:5" ht="22.5" customHeight="1" x14ac:dyDescent="0.3">
      <c r="A32" s="9" t="s">
        <v>32</v>
      </c>
      <c r="B32" s="7"/>
      <c r="C32" s="47"/>
      <c r="D32" s="12"/>
      <c r="E32" s="46">
        <f t="shared" si="1"/>
        <v>0</v>
      </c>
    </row>
    <row r="33" spans="1:5" ht="22.5" customHeight="1" x14ac:dyDescent="0.2">
      <c r="A33" s="13" t="s">
        <v>33</v>
      </c>
      <c r="B33" s="11" t="s">
        <v>66</v>
      </c>
      <c r="C33" s="46">
        <v>50000</v>
      </c>
      <c r="D33" s="12">
        <f>ROUNDUP(D2*C2*3/24,0)</f>
        <v>1</v>
      </c>
      <c r="E33" s="46">
        <f t="shared" si="1"/>
        <v>50000</v>
      </c>
    </row>
    <row r="34" spans="1:5" ht="22.5" customHeight="1" x14ac:dyDescent="0.2">
      <c r="A34" s="13" t="s">
        <v>35</v>
      </c>
      <c r="B34" s="11" t="s">
        <v>34</v>
      </c>
      <c r="C34" s="46">
        <v>100000</v>
      </c>
      <c r="D34" s="12">
        <v>1</v>
      </c>
      <c r="E34" s="46">
        <f t="shared" si="1"/>
        <v>100000</v>
      </c>
    </row>
    <row r="35" spans="1:5" ht="22.5" customHeight="1" x14ac:dyDescent="0.2">
      <c r="A35" s="13" t="s">
        <v>36</v>
      </c>
      <c r="B35" s="11" t="s">
        <v>9</v>
      </c>
      <c r="C35" s="46">
        <v>60000</v>
      </c>
      <c r="D35" s="12">
        <f>D2</f>
        <v>1</v>
      </c>
      <c r="E35" s="46">
        <f t="shared" si="1"/>
        <v>60000</v>
      </c>
    </row>
    <row r="36" spans="1:5" ht="22.5" customHeight="1" x14ac:dyDescent="0.3">
      <c r="A36" s="9" t="s">
        <v>39</v>
      </c>
      <c r="B36" s="7"/>
      <c r="C36" s="14"/>
      <c r="D36" s="12"/>
      <c r="E36" s="46">
        <f t="shared" si="1"/>
        <v>0</v>
      </c>
    </row>
    <row r="37" spans="1:5" ht="22.5" customHeight="1" x14ac:dyDescent="0.2">
      <c r="A37" s="13" t="s">
        <v>40</v>
      </c>
      <c r="B37" s="11" t="s">
        <v>9</v>
      </c>
      <c r="C37" s="12">
        <v>16000</v>
      </c>
      <c r="D37" s="12">
        <f>D2</f>
        <v>1</v>
      </c>
      <c r="E37" s="46">
        <f t="shared" si="1"/>
        <v>16000</v>
      </c>
    </row>
    <row r="38" spans="1:5" s="1" customFormat="1" ht="30" customHeight="1" x14ac:dyDescent="0.2">
      <c r="A38" s="18" t="s">
        <v>67</v>
      </c>
      <c r="B38" s="17"/>
      <c r="C38" s="5"/>
      <c r="D38" s="12"/>
      <c r="E38" s="49">
        <f>SUM(E7:E37)</f>
        <v>4913500</v>
      </c>
    </row>
    <row r="39" spans="1:5" ht="36" customHeight="1" x14ac:dyDescent="0.2">
      <c r="A39" s="18" t="s">
        <v>72</v>
      </c>
      <c r="B39" s="8"/>
      <c r="C39" s="8"/>
      <c r="D39" s="8"/>
      <c r="E39" s="49">
        <f>E38/D2</f>
        <v>4913500</v>
      </c>
    </row>
  </sheetData>
  <pageMargins left="0.25" right="0.25" top="0.75" bottom="0.75" header="0.3" footer="0.3"/>
  <pageSetup paperSize="9" scale="5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0E79-DF90-5344-9AE1-9AC219FAA15D}">
  <sheetPr>
    <pageSetUpPr fitToPage="1"/>
  </sheetPr>
  <dimension ref="A1:E39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81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2</v>
      </c>
      <c r="E2" s="52">
        <v>3570000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1</v>
      </c>
      <c r="E7" s="46">
        <f t="shared" ref="E7:E22" si="0">C7*D7</f>
        <v>337500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1</v>
      </c>
      <c r="E9" s="46">
        <f t="shared" si="0"/>
        <v>750000</v>
      </c>
    </row>
    <row r="10" spans="1:5" ht="22.5" customHeight="1" x14ac:dyDescent="0.3">
      <c r="A10" s="6" t="s">
        <v>7</v>
      </c>
      <c r="B10" s="7"/>
      <c r="C10" s="47"/>
      <c r="D10" s="12"/>
      <c r="E10" s="46">
        <f t="shared" si="0"/>
        <v>0</v>
      </c>
    </row>
    <row r="11" spans="1:5" ht="22.5" customHeight="1" x14ac:dyDescent="0.3">
      <c r="A11" s="9" t="s">
        <v>8</v>
      </c>
      <c r="B11" s="7"/>
      <c r="C11" s="47"/>
      <c r="D11" s="12"/>
      <c r="E11" s="46">
        <f t="shared" si="0"/>
        <v>0</v>
      </c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2</v>
      </c>
      <c r="E12" s="46">
        <f t="shared" si="0"/>
        <v>150000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2</v>
      </c>
      <c r="E13" s="46">
        <f t="shared" si="0"/>
        <v>70000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2</v>
      </c>
      <c r="E14" s="46">
        <f t="shared" si="0"/>
        <v>50000</v>
      </c>
    </row>
    <row r="15" spans="1:5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5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2</v>
      </c>
      <c r="E16" s="46">
        <f t="shared" si="0"/>
        <v>130000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2</v>
      </c>
      <c r="E18" s="46">
        <f t="shared" si="0"/>
        <v>320000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1</v>
      </c>
      <c r="E19" s="46">
        <f t="shared" si="0"/>
        <v>500000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2</v>
      </c>
      <c r="E21" s="46">
        <f t="shared" si="0"/>
        <v>180000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3" t="s">
        <v>18</v>
      </c>
      <c r="B25" s="11" t="s">
        <v>19</v>
      </c>
      <c r="C25" s="46">
        <v>450000</v>
      </c>
      <c r="D25" s="12">
        <f>IF($D$2=1,$C$2, IF($D$2=2,$C$2,0))</f>
        <v>3</v>
      </c>
      <c r="E25" s="46">
        <f t="shared" ref="E25:E37" si="1">C25*D25</f>
        <v>1350000</v>
      </c>
    </row>
    <row r="26" spans="1:5" ht="22.5" customHeight="1" x14ac:dyDescent="0.3">
      <c r="A26" s="9" t="s">
        <v>23</v>
      </c>
      <c r="B26" s="7"/>
      <c r="C26" s="47"/>
      <c r="D26" s="12"/>
      <c r="E26" s="46"/>
    </row>
    <row r="27" spans="1:5" ht="22.5" customHeight="1" x14ac:dyDescent="0.2">
      <c r="A27" s="13" t="s">
        <v>24</v>
      </c>
      <c r="B27" s="11" t="s">
        <v>5</v>
      </c>
      <c r="C27" s="46">
        <v>200000</v>
      </c>
      <c r="D27" s="12">
        <f>IF((($D$2&gt;=10)*($D$2&lt;=11))=1,2,1)</f>
        <v>1</v>
      </c>
      <c r="E27" s="46">
        <f t="shared" si="1"/>
        <v>200000</v>
      </c>
    </row>
    <row r="28" spans="1:5" ht="22.5" customHeight="1" x14ac:dyDescent="0.3">
      <c r="A28" s="16" t="s">
        <v>28</v>
      </c>
      <c r="B28" s="7"/>
      <c r="C28" s="47"/>
      <c r="D28" s="12"/>
      <c r="E28" s="46">
        <f t="shared" si="1"/>
        <v>0</v>
      </c>
    </row>
    <row r="29" spans="1:5" ht="22.5" customHeight="1" x14ac:dyDescent="0.3">
      <c r="A29" s="9" t="s">
        <v>29</v>
      </c>
      <c r="B29" s="7"/>
      <c r="C29" s="47"/>
      <c r="D29" s="12"/>
      <c r="E29" s="46">
        <f t="shared" si="1"/>
        <v>0</v>
      </c>
    </row>
    <row r="30" spans="1:5" ht="22.5" customHeight="1" x14ac:dyDescent="0.2">
      <c r="A30" s="13" t="s">
        <v>30</v>
      </c>
      <c r="B30" s="11" t="s">
        <v>19</v>
      </c>
      <c r="C30" s="46">
        <v>250000</v>
      </c>
      <c r="D30" s="12">
        <f>IF((($D$2&gt;=1)*($D$2&lt;=3))=1,$C$2,0)</f>
        <v>3</v>
      </c>
      <c r="E30" s="46">
        <f t="shared" si="1"/>
        <v>750000</v>
      </c>
    </row>
    <row r="31" spans="1:5" ht="22.5" customHeight="1" x14ac:dyDescent="0.3">
      <c r="A31" s="16" t="s">
        <v>31</v>
      </c>
      <c r="B31" s="7"/>
      <c r="C31" s="47"/>
      <c r="D31" s="12"/>
      <c r="E31" s="46">
        <f t="shared" si="1"/>
        <v>0</v>
      </c>
    </row>
    <row r="32" spans="1:5" ht="22.5" customHeight="1" x14ac:dyDescent="0.3">
      <c r="A32" s="9" t="s">
        <v>32</v>
      </c>
      <c r="B32" s="7"/>
      <c r="C32" s="47"/>
      <c r="D32" s="12"/>
      <c r="E32" s="46">
        <f t="shared" si="1"/>
        <v>0</v>
      </c>
    </row>
    <row r="33" spans="1:5" ht="22.5" customHeight="1" x14ac:dyDescent="0.2">
      <c r="A33" s="13" t="s">
        <v>33</v>
      </c>
      <c r="B33" s="11" t="s">
        <v>66</v>
      </c>
      <c r="C33" s="46">
        <v>50000</v>
      </c>
      <c r="D33" s="12">
        <f>ROUNDUP(D2*C2*3/24,0)</f>
        <v>1</v>
      </c>
      <c r="E33" s="46">
        <f t="shared" si="1"/>
        <v>50000</v>
      </c>
    </row>
    <row r="34" spans="1:5" ht="22.5" customHeight="1" x14ac:dyDescent="0.2">
      <c r="A34" s="13" t="s">
        <v>35</v>
      </c>
      <c r="B34" s="11" t="s">
        <v>34</v>
      </c>
      <c r="C34" s="46">
        <v>100000</v>
      </c>
      <c r="D34" s="12">
        <v>1</v>
      </c>
      <c r="E34" s="46">
        <f t="shared" si="1"/>
        <v>100000</v>
      </c>
    </row>
    <row r="35" spans="1:5" ht="22.5" customHeight="1" x14ac:dyDescent="0.2">
      <c r="A35" s="13" t="s">
        <v>36</v>
      </c>
      <c r="B35" s="11" t="s">
        <v>9</v>
      </c>
      <c r="C35" s="46">
        <v>60000</v>
      </c>
      <c r="D35" s="12">
        <f>D2</f>
        <v>2</v>
      </c>
      <c r="E35" s="46">
        <f t="shared" si="1"/>
        <v>120000</v>
      </c>
    </row>
    <row r="36" spans="1:5" ht="22.5" customHeight="1" x14ac:dyDescent="0.3">
      <c r="A36" s="9" t="s">
        <v>39</v>
      </c>
      <c r="B36" s="7"/>
      <c r="C36" s="14"/>
      <c r="D36" s="12"/>
      <c r="E36" s="46">
        <f t="shared" si="1"/>
        <v>0</v>
      </c>
    </row>
    <row r="37" spans="1:5" ht="22.5" customHeight="1" x14ac:dyDescent="0.2">
      <c r="A37" s="13" t="s">
        <v>40</v>
      </c>
      <c r="B37" s="11" t="s">
        <v>9</v>
      </c>
      <c r="C37" s="12">
        <v>16000</v>
      </c>
      <c r="D37" s="12">
        <f>D2</f>
        <v>2</v>
      </c>
      <c r="E37" s="46">
        <f t="shared" si="1"/>
        <v>32000</v>
      </c>
    </row>
    <row r="38" spans="1:5" s="1" customFormat="1" ht="30" customHeight="1" x14ac:dyDescent="0.2">
      <c r="A38" s="18" t="s">
        <v>67</v>
      </c>
      <c r="B38" s="17"/>
      <c r="C38" s="5"/>
      <c r="D38" s="12"/>
      <c r="E38" s="49">
        <f>SUM(E7:E37)</f>
        <v>5439500</v>
      </c>
    </row>
    <row r="39" spans="1:5" ht="36" customHeight="1" x14ac:dyDescent="0.2">
      <c r="A39" s="18" t="s">
        <v>72</v>
      </c>
      <c r="B39" s="8"/>
      <c r="C39" s="8"/>
      <c r="D39" s="8"/>
      <c r="E39" s="49">
        <f>E38/D2</f>
        <v>2719750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2312-110C-DE4A-B927-C6BFB8387602}">
  <sheetPr>
    <pageSetUpPr fitToPage="1"/>
  </sheetPr>
  <dimension ref="A1:N39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14" ht="27.75" customHeight="1" x14ac:dyDescent="0.2">
      <c r="A2" s="3" t="s">
        <v>79</v>
      </c>
      <c r="B2" s="3"/>
      <c r="C2" s="3">
        <v>3</v>
      </c>
      <c r="D2" s="50">
        <v>3</v>
      </c>
      <c r="E2" s="52">
        <v>3275000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5">
      <c r="A7" s="10" t="s">
        <v>53</v>
      </c>
      <c r="B7" s="11" t="s">
        <v>5</v>
      </c>
      <c r="C7" s="46">
        <v>562500</v>
      </c>
      <c r="D7" s="12">
        <v>1</v>
      </c>
      <c r="E7" s="46">
        <f t="shared" ref="E7:E22" si="0">C7*D7</f>
        <v>562500</v>
      </c>
      <c r="H7" s="39"/>
      <c r="I7" s="40"/>
      <c r="J7" s="40"/>
      <c r="K7" s="41"/>
      <c r="L7" s="41"/>
      <c r="M7" s="41"/>
      <c r="N7" s="41"/>
    </row>
    <row r="8" spans="1:14" ht="22.5" customHeight="1" x14ac:dyDescent="0.3">
      <c r="A8" s="9" t="s">
        <v>6</v>
      </c>
      <c r="B8" s="7"/>
      <c r="C8" s="47"/>
      <c r="D8" s="12"/>
      <c r="E8" s="46"/>
    </row>
    <row r="9" spans="1:14" ht="22.5" customHeight="1" x14ac:dyDescent="0.2">
      <c r="A9" s="10" t="s">
        <v>47</v>
      </c>
      <c r="B9" s="11" t="s">
        <v>5</v>
      </c>
      <c r="C9" s="46">
        <v>950000</v>
      </c>
      <c r="D9" s="12">
        <v>1</v>
      </c>
      <c r="E9" s="46">
        <f t="shared" si="0"/>
        <v>950000</v>
      </c>
    </row>
    <row r="10" spans="1:14" ht="22.5" customHeight="1" x14ac:dyDescent="0.3">
      <c r="A10" s="6" t="s">
        <v>7</v>
      </c>
      <c r="B10" s="7"/>
      <c r="C10" s="47"/>
      <c r="D10" s="12"/>
      <c r="E10" s="46">
        <f t="shared" si="0"/>
        <v>0</v>
      </c>
    </row>
    <row r="11" spans="1:14" ht="22.5" customHeight="1" x14ac:dyDescent="0.3">
      <c r="A11" s="9" t="s">
        <v>8</v>
      </c>
      <c r="B11" s="7"/>
      <c r="C11" s="47"/>
      <c r="D11" s="12"/>
      <c r="E11" s="46">
        <f t="shared" si="0"/>
        <v>0</v>
      </c>
    </row>
    <row r="12" spans="1:14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3</v>
      </c>
      <c r="E12" s="46">
        <f t="shared" si="0"/>
        <v>225000</v>
      </c>
    </row>
    <row r="13" spans="1:14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3</v>
      </c>
      <c r="E13" s="46">
        <f t="shared" si="0"/>
        <v>105000</v>
      </c>
    </row>
    <row r="14" spans="1:14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3</v>
      </c>
      <c r="E14" s="46">
        <f t="shared" si="0"/>
        <v>75000</v>
      </c>
    </row>
    <row r="15" spans="1:14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14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3</v>
      </c>
      <c r="E16" s="46">
        <f t="shared" si="0"/>
        <v>195000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3</v>
      </c>
      <c r="E18" s="46">
        <f t="shared" si="0"/>
        <v>480000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1</v>
      </c>
      <c r="E19" s="46">
        <f t="shared" si="0"/>
        <v>500000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3</v>
      </c>
      <c r="E21" s="46">
        <f t="shared" si="0"/>
        <v>270000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3" t="s">
        <v>18</v>
      </c>
      <c r="B25" s="11" t="s">
        <v>19</v>
      </c>
      <c r="C25" s="46">
        <v>450000</v>
      </c>
      <c r="D25" s="12">
        <v>3</v>
      </c>
      <c r="E25" s="46">
        <f t="shared" ref="E25:E37" si="1">C25*D25</f>
        <v>1350000</v>
      </c>
    </row>
    <row r="26" spans="1:5" ht="22.5" customHeight="1" x14ac:dyDescent="0.3">
      <c r="A26" s="9" t="s">
        <v>23</v>
      </c>
      <c r="B26" s="7"/>
      <c r="C26" s="47"/>
      <c r="D26" s="12"/>
      <c r="E26" s="46"/>
    </row>
    <row r="27" spans="1:5" ht="22.5" customHeight="1" x14ac:dyDescent="0.2">
      <c r="A27" s="13" t="s">
        <v>24</v>
      </c>
      <c r="B27" s="11" t="s">
        <v>5</v>
      </c>
      <c r="C27" s="46">
        <v>200000</v>
      </c>
      <c r="D27" s="12">
        <f>IF((($D$2&gt;=10)*($D$2&lt;=11))=1,2,1)</f>
        <v>1</v>
      </c>
      <c r="E27" s="46">
        <f t="shared" si="1"/>
        <v>200000</v>
      </c>
    </row>
    <row r="28" spans="1:5" ht="22.5" customHeight="1" x14ac:dyDescent="0.3">
      <c r="A28" s="16" t="s">
        <v>28</v>
      </c>
      <c r="B28" s="7"/>
      <c r="C28" s="47"/>
      <c r="D28" s="12"/>
      <c r="E28" s="46">
        <f t="shared" si="1"/>
        <v>0</v>
      </c>
    </row>
    <row r="29" spans="1:5" ht="22.5" customHeight="1" x14ac:dyDescent="0.3">
      <c r="A29" s="9" t="s">
        <v>29</v>
      </c>
      <c r="B29" s="7"/>
      <c r="C29" s="47"/>
      <c r="D29" s="12"/>
      <c r="E29" s="46">
        <f t="shared" si="1"/>
        <v>0</v>
      </c>
    </row>
    <row r="30" spans="1:5" ht="22.5" customHeight="1" x14ac:dyDescent="0.2">
      <c r="A30" s="13" t="s">
        <v>30</v>
      </c>
      <c r="B30" s="11" t="s">
        <v>19</v>
      </c>
      <c r="C30" s="46">
        <v>250000</v>
      </c>
      <c r="D30" s="12">
        <f>IF((($D$2&gt;=1)*($D$2&lt;=3))=1,$C$2,0)</f>
        <v>3</v>
      </c>
      <c r="E30" s="46">
        <f t="shared" si="1"/>
        <v>750000</v>
      </c>
    </row>
    <row r="31" spans="1:5" ht="22.5" customHeight="1" x14ac:dyDescent="0.3">
      <c r="A31" s="16" t="s">
        <v>31</v>
      </c>
      <c r="B31" s="7"/>
      <c r="C31" s="47"/>
      <c r="D31" s="12"/>
      <c r="E31" s="46">
        <f t="shared" si="1"/>
        <v>0</v>
      </c>
    </row>
    <row r="32" spans="1:5" ht="22.5" customHeight="1" x14ac:dyDescent="0.3">
      <c r="A32" s="9" t="s">
        <v>32</v>
      </c>
      <c r="B32" s="7"/>
      <c r="C32" s="47"/>
      <c r="D32" s="12"/>
      <c r="E32" s="46">
        <f t="shared" si="1"/>
        <v>0</v>
      </c>
    </row>
    <row r="33" spans="1:5" ht="22.5" customHeight="1" x14ac:dyDescent="0.2">
      <c r="A33" s="13" t="s">
        <v>33</v>
      </c>
      <c r="B33" s="11" t="s">
        <v>66</v>
      </c>
      <c r="C33" s="46">
        <v>50000</v>
      </c>
      <c r="D33" s="12">
        <f>ROUNDUP(D2*C2*3/24,0)</f>
        <v>2</v>
      </c>
      <c r="E33" s="46">
        <f t="shared" si="1"/>
        <v>100000</v>
      </c>
    </row>
    <row r="34" spans="1:5" ht="22.5" customHeight="1" x14ac:dyDescent="0.2">
      <c r="A34" s="13" t="s">
        <v>35</v>
      </c>
      <c r="B34" s="11" t="s">
        <v>34</v>
      </c>
      <c r="C34" s="46">
        <v>100000</v>
      </c>
      <c r="D34" s="12">
        <v>1</v>
      </c>
      <c r="E34" s="46">
        <f t="shared" si="1"/>
        <v>100000</v>
      </c>
    </row>
    <row r="35" spans="1:5" ht="22.5" customHeight="1" x14ac:dyDescent="0.2">
      <c r="A35" s="13" t="s">
        <v>36</v>
      </c>
      <c r="B35" s="11" t="s">
        <v>9</v>
      </c>
      <c r="C35" s="46">
        <v>60000</v>
      </c>
      <c r="D35" s="12">
        <f>D2</f>
        <v>3</v>
      </c>
      <c r="E35" s="46">
        <f t="shared" si="1"/>
        <v>180000</v>
      </c>
    </row>
    <row r="36" spans="1:5" ht="22.5" customHeight="1" x14ac:dyDescent="0.3">
      <c r="A36" s="9" t="s">
        <v>39</v>
      </c>
      <c r="B36" s="7"/>
      <c r="C36" s="14"/>
      <c r="D36" s="12"/>
      <c r="E36" s="46"/>
    </row>
    <row r="37" spans="1:5" ht="22.5" customHeight="1" x14ac:dyDescent="0.2">
      <c r="A37" s="13" t="s">
        <v>40</v>
      </c>
      <c r="B37" s="11" t="s">
        <v>9</v>
      </c>
      <c r="C37" s="12">
        <v>16000</v>
      </c>
      <c r="D37" s="12">
        <f>D2</f>
        <v>3</v>
      </c>
      <c r="E37" s="46">
        <f t="shared" si="1"/>
        <v>48000</v>
      </c>
    </row>
    <row r="38" spans="1:5" s="1" customFormat="1" ht="30" customHeight="1" x14ac:dyDescent="0.2">
      <c r="A38" s="18" t="s">
        <v>67</v>
      </c>
      <c r="B38" s="17"/>
      <c r="C38" s="5"/>
      <c r="D38" s="12"/>
      <c r="E38" s="49">
        <f>SUM(E7:E37)</f>
        <v>6440500</v>
      </c>
    </row>
    <row r="39" spans="1:5" ht="36" customHeight="1" x14ac:dyDescent="0.2">
      <c r="A39" s="18" t="s">
        <v>72</v>
      </c>
      <c r="B39" s="8"/>
      <c r="C39" s="8"/>
      <c r="D39" s="8"/>
      <c r="E39" s="49">
        <f>E38/D2</f>
        <v>2146833.3333333335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5B39-EE1E-F442-8830-17FE63564F99}">
  <sheetPr>
    <pageSetUpPr fitToPage="1"/>
  </sheetPr>
  <dimension ref="A1:E38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4</v>
      </c>
      <c r="E2" s="52">
        <v>3050000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2</v>
      </c>
      <c r="E7" s="46">
        <f t="shared" ref="E7:E21" si="0">C7*D7</f>
        <v>675000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2</v>
      </c>
      <c r="E9" s="46">
        <f t="shared" si="0"/>
        <v>1500000</v>
      </c>
    </row>
    <row r="10" spans="1:5" ht="22.5" customHeight="1" x14ac:dyDescent="0.3">
      <c r="A10" s="6" t="s">
        <v>7</v>
      </c>
      <c r="B10" s="7"/>
      <c r="C10" s="47"/>
      <c r="D10" s="12"/>
      <c r="E10" s="46"/>
    </row>
    <row r="11" spans="1:5" ht="22.5" customHeight="1" x14ac:dyDescent="0.3">
      <c r="A11" s="9" t="s">
        <v>8</v>
      </c>
      <c r="B11" s="7"/>
      <c r="C11" s="47"/>
      <c r="D11" s="12"/>
      <c r="E11" s="46"/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4</v>
      </c>
      <c r="E12" s="46">
        <f t="shared" si="0"/>
        <v>300000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4</v>
      </c>
      <c r="E13" s="46">
        <f t="shared" si="0"/>
        <v>140000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4</v>
      </c>
      <c r="E14" s="46">
        <f t="shared" si="0"/>
        <v>100000</v>
      </c>
    </row>
    <row r="15" spans="1:5" ht="22.5" customHeight="1" x14ac:dyDescent="0.2">
      <c r="A15" s="13" t="s">
        <v>77</v>
      </c>
      <c r="B15" s="11" t="s">
        <v>9</v>
      </c>
      <c r="C15" s="46">
        <v>65000</v>
      </c>
      <c r="D15" s="12">
        <f>D2</f>
        <v>4</v>
      </c>
      <c r="E15" s="46">
        <f t="shared" si="0"/>
        <v>260000</v>
      </c>
    </row>
    <row r="16" spans="1:5" ht="22.5" customHeight="1" x14ac:dyDescent="0.3">
      <c r="A16" s="9" t="s">
        <v>12</v>
      </c>
      <c r="B16" s="7"/>
      <c r="C16" s="48"/>
      <c r="D16" s="12"/>
      <c r="E16" s="46"/>
    </row>
    <row r="17" spans="1:5" ht="22.5" customHeight="1" x14ac:dyDescent="0.2">
      <c r="A17" s="10" t="s">
        <v>43</v>
      </c>
      <c r="B17" s="11" t="s">
        <v>9</v>
      </c>
      <c r="C17" s="46">
        <v>160000</v>
      </c>
      <c r="D17" s="12">
        <f>D2</f>
        <v>4</v>
      </c>
      <c r="E17" s="46">
        <f t="shared" si="0"/>
        <v>640000</v>
      </c>
    </row>
    <row r="18" spans="1:5" ht="22.5" customHeight="1" x14ac:dyDescent="0.2">
      <c r="A18" s="13" t="s">
        <v>13</v>
      </c>
      <c r="B18" s="11" t="s">
        <v>9</v>
      </c>
      <c r="C18" s="46">
        <v>500000</v>
      </c>
      <c r="D18" s="12">
        <f>ROUNDUP(D2/4,0)</f>
        <v>1</v>
      </c>
      <c r="E18" s="46">
        <f t="shared" si="0"/>
        <v>500000</v>
      </c>
    </row>
    <row r="19" spans="1:5" ht="22.5" customHeight="1" x14ac:dyDescent="0.3">
      <c r="A19" s="15" t="s">
        <v>14</v>
      </c>
      <c r="B19" s="7"/>
      <c r="C19" s="48"/>
      <c r="D19" s="12"/>
      <c r="E19" s="46"/>
    </row>
    <row r="20" spans="1:5" ht="22.5" customHeight="1" x14ac:dyDescent="0.2">
      <c r="A20" s="13" t="s">
        <v>15</v>
      </c>
      <c r="B20" s="11" t="s">
        <v>9</v>
      </c>
      <c r="C20" s="46">
        <v>90000</v>
      </c>
      <c r="D20" s="12">
        <f>D2</f>
        <v>4</v>
      </c>
      <c r="E20" s="46">
        <f t="shared" si="0"/>
        <v>360000</v>
      </c>
    </row>
    <row r="21" spans="1:5" ht="22.5" customHeight="1" x14ac:dyDescent="0.2">
      <c r="A21" s="10" t="s">
        <v>59</v>
      </c>
      <c r="B21" s="11" t="s">
        <v>5</v>
      </c>
      <c r="C21" s="46">
        <v>100000</v>
      </c>
      <c r="D21" s="12">
        <v>1</v>
      </c>
      <c r="E21" s="46">
        <f t="shared" si="0"/>
        <v>100000</v>
      </c>
    </row>
    <row r="22" spans="1:5" ht="22.5" customHeight="1" x14ac:dyDescent="0.3">
      <c r="A22" s="16" t="s">
        <v>16</v>
      </c>
      <c r="B22" s="7"/>
      <c r="C22" s="47"/>
      <c r="D22" s="12"/>
      <c r="E22" s="46"/>
    </row>
    <row r="23" spans="1:5" ht="22.5" customHeight="1" x14ac:dyDescent="0.3">
      <c r="A23" s="9" t="s">
        <v>17</v>
      </c>
      <c r="B23" s="7"/>
      <c r="C23" s="47"/>
      <c r="D23" s="12"/>
      <c r="E23" s="46"/>
    </row>
    <row r="24" spans="1:5" ht="22.5" customHeight="1" x14ac:dyDescent="0.2">
      <c r="A24" s="10" t="s">
        <v>21</v>
      </c>
      <c r="B24" s="11" t="s">
        <v>19</v>
      </c>
      <c r="C24" s="46">
        <v>1100000</v>
      </c>
      <c r="D24" s="12">
        <f>IF((($D$2&gt;=4)*($D$2&lt;=11))=1,$C$2,0)</f>
        <v>3</v>
      </c>
      <c r="E24" s="46">
        <f t="shared" ref="E24:E36" si="1">C24*D24</f>
        <v>3300000</v>
      </c>
    </row>
    <row r="25" spans="1:5" ht="22.5" customHeight="1" x14ac:dyDescent="0.3">
      <c r="A25" s="9" t="s">
        <v>23</v>
      </c>
      <c r="B25" s="7"/>
      <c r="C25" s="47"/>
      <c r="D25" s="12"/>
      <c r="E25" s="46"/>
    </row>
    <row r="26" spans="1:5" ht="22.5" customHeight="1" x14ac:dyDescent="0.2">
      <c r="A26" s="13" t="s">
        <v>24</v>
      </c>
      <c r="B26" s="11" t="s">
        <v>5</v>
      </c>
      <c r="C26" s="46">
        <v>200000</v>
      </c>
      <c r="D26" s="12">
        <f>IF((($D$2&gt;=10)*($D$2&lt;=11))=1,2,1)</f>
        <v>1</v>
      </c>
      <c r="E26" s="46">
        <f t="shared" si="1"/>
        <v>200000</v>
      </c>
    </row>
    <row r="27" spans="1:5" ht="22.5" customHeight="1" x14ac:dyDescent="0.3">
      <c r="A27" s="16" t="s">
        <v>28</v>
      </c>
      <c r="B27" s="7"/>
      <c r="C27" s="47"/>
      <c r="D27" s="12"/>
      <c r="E27" s="46">
        <f t="shared" si="1"/>
        <v>0</v>
      </c>
    </row>
    <row r="28" spans="1:5" ht="22.5" customHeight="1" x14ac:dyDescent="0.3">
      <c r="A28" s="9" t="s">
        <v>29</v>
      </c>
      <c r="B28" s="7"/>
      <c r="C28" s="47"/>
      <c r="D28" s="12"/>
      <c r="E28" s="46">
        <f t="shared" si="1"/>
        <v>0</v>
      </c>
    </row>
    <row r="29" spans="1:5" ht="22.5" customHeight="1" x14ac:dyDescent="0.2">
      <c r="A29" s="10" t="s">
        <v>55</v>
      </c>
      <c r="B29" s="11" t="s">
        <v>19</v>
      </c>
      <c r="C29" s="46">
        <v>250000</v>
      </c>
      <c r="D29" s="12">
        <f>IF((($D$2&gt;=4)*($D$2&lt;=11))=1,$C$2,0)</f>
        <v>3</v>
      </c>
      <c r="E29" s="46">
        <f t="shared" si="1"/>
        <v>750000</v>
      </c>
    </row>
    <row r="30" spans="1:5" ht="22.5" customHeight="1" x14ac:dyDescent="0.3">
      <c r="A30" s="16" t="s">
        <v>31</v>
      </c>
      <c r="B30" s="7"/>
      <c r="C30" s="47"/>
      <c r="D30" s="12"/>
      <c r="E30" s="46">
        <f t="shared" si="1"/>
        <v>0</v>
      </c>
    </row>
    <row r="31" spans="1:5" ht="22.5" customHeight="1" x14ac:dyDescent="0.3">
      <c r="A31" s="9" t="s">
        <v>32</v>
      </c>
      <c r="B31" s="7"/>
      <c r="C31" s="47"/>
      <c r="D31" s="12"/>
      <c r="E31" s="46">
        <f t="shared" si="1"/>
        <v>0</v>
      </c>
    </row>
    <row r="32" spans="1:5" ht="22.5" customHeight="1" x14ac:dyDescent="0.2">
      <c r="A32" s="13" t="s">
        <v>33</v>
      </c>
      <c r="B32" s="11" t="s">
        <v>66</v>
      </c>
      <c r="C32" s="46">
        <v>50000</v>
      </c>
      <c r="D32" s="12">
        <f>ROUNDUP(D2*C2*3/24,0)</f>
        <v>2</v>
      </c>
      <c r="E32" s="46">
        <f t="shared" si="1"/>
        <v>100000</v>
      </c>
    </row>
    <row r="33" spans="1:5" ht="22.5" customHeight="1" x14ac:dyDescent="0.2">
      <c r="A33" s="13" t="s">
        <v>35</v>
      </c>
      <c r="B33" s="11" t="s">
        <v>34</v>
      </c>
      <c r="C33" s="46">
        <v>100000</v>
      </c>
      <c r="D33" s="12">
        <v>1</v>
      </c>
      <c r="E33" s="46">
        <f t="shared" si="1"/>
        <v>100000</v>
      </c>
    </row>
    <row r="34" spans="1:5" ht="22.5" customHeight="1" x14ac:dyDescent="0.2">
      <c r="A34" s="13" t="s">
        <v>36</v>
      </c>
      <c r="B34" s="11" t="s">
        <v>9</v>
      </c>
      <c r="C34" s="46">
        <v>60000</v>
      </c>
      <c r="D34" s="12">
        <f>D2</f>
        <v>4</v>
      </c>
      <c r="E34" s="46">
        <f t="shared" si="1"/>
        <v>240000</v>
      </c>
    </row>
    <row r="35" spans="1:5" ht="22.5" customHeight="1" x14ac:dyDescent="0.3">
      <c r="A35" s="9" t="s">
        <v>39</v>
      </c>
      <c r="B35" s="7"/>
      <c r="C35" s="14"/>
      <c r="D35" s="12"/>
      <c r="E35" s="46">
        <f t="shared" si="1"/>
        <v>0</v>
      </c>
    </row>
    <row r="36" spans="1:5" ht="22.5" customHeight="1" x14ac:dyDescent="0.2">
      <c r="A36" s="13" t="s">
        <v>40</v>
      </c>
      <c r="B36" s="11" t="s">
        <v>9</v>
      </c>
      <c r="C36" s="12">
        <v>16000</v>
      </c>
      <c r="D36" s="12">
        <f>D2</f>
        <v>4</v>
      </c>
      <c r="E36" s="46">
        <f t="shared" si="1"/>
        <v>64000</v>
      </c>
    </row>
    <row r="37" spans="1:5" s="1" customFormat="1" ht="30" customHeight="1" x14ac:dyDescent="0.2">
      <c r="A37" s="18" t="s">
        <v>67</v>
      </c>
      <c r="B37" s="17"/>
      <c r="C37" s="5"/>
      <c r="D37" s="12"/>
      <c r="E37" s="49">
        <f>SUM(E7:E36)</f>
        <v>9329000</v>
      </c>
    </row>
    <row r="38" spans="1:5" ht="36" customHeight="1" x14ac:dyDescent="0.2">
      <c r="A38" s="18" t="s">
        <v>72</v>
      </c>
      <c r="B38" s="8"/>
      <c r="C38" s="8"/>
      <c r="D38" s="8"/>
      <c r="E38" s="49">
        <f>E37/D2</f>
        <v>2332250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843-F875-124B-87AE-85961DA3A58E}">
  <sheetPr>
    <pageSetUpPr fitToPage="1"/>
  </sheetPr>
  <dimension ref="A1:N41"/>
  <sheetViews>
    <sheetView zoomScale="70" zoomScaleNormal="70" workbookViewId="0">
      <selection activeCell="E2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14" ht="27.75" customHeight="1" x14ac:dyDescent="0.2">
      <c r="A2" s="3" t="s">
        <v>79</v>
      </c>
      <c r="B2" s="3"/>
      <c r="C2" s="3">
        <v>3</v>
      </c>
      <c r="D2" s="50">
        <v>5</v>
      </c>
      <c r="E2" s="52">
        <v>3050000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49</v>
      </c>
      <c r="B7" s="11" t="s">
        <v>5</v>
      </c>
      <c r="C7" s="46">
        <v>337500</v>
      </c>
      <c r="D7" s="12">
        <v>1</v>
      </c>
      <c r="E7" s="46">
        <f t="shared" ref="E7:E24" si="0">C7*D7</f>
        <v>337500</v>
      </c>
    </row>
    <row r="8" spans="1:14" ht="22.5" customHeight="1" x14ac:dyDescent="0.25">
      <c r="A8" s="10" t="s">
        <v>53</v>
      </c>
      <c r="B8" s="11" t="s">
        <v>5</v>
      </c>
      <c r="C8" s="46">
        <v>562500</v>
      </c>
      <c r="D8" s="12">
        <v>1</v>
      </c>
      <c r="E8" s="46">
        <f t="shared" si="0"/>
        <v>562500</v>
      </c>
      <c r="H8" s="39"/>
      <c r="I8" s="40"/>
      <c r="J8" s="40"/>
      <c r="K8" s="41"/>
      <c r="L8" s="41"/>
      <c r="M8" s="41"/>
      <c r="N8" s="41"/>
    </row>
    <row r="9" spans="1:14" ht="22.5" customHeight="1" x14ac:dyDescent="0.3">
      <c r="A9" s="9" t="s">
        <v>6</v>
      </c>
      <c r="B9" s="7"/>
      <c r="C9" s="47"/>
      <c r="D9" s="12"/>
      <c r="E9" s="46"/>
    </row>
    <row r="10" spans="1:14" ht="22.5" customHeight="1" x14ac:dyDescent="0.2">
      <c r="A10" s="10" t="s">
        <v>46</v>
      </c>
      <c r="B10" s="11" t="s">
        <v>5</v>
      </c>
      <c r="C10" s="46">
        <v>750000</v>
      </c>
      <c r="D10" s="12">
        <v>1</v>
      </c>
      <c r="E10" s="46">
        <f t="shared" si="0"/>
        <v>750000</v>
      </c>
    </row>
    <row r="11" spans="1:14" ht="22.5" customHeight="1" x14ac:dyDescent="0.2">
      <c r="A11" s="10" t="s">
        <v>47</v>
      </c>
      <c r="B11" s="11" t="s">
        <v>5</v>
      </c>
      <c r="C11" s="46">
        <v>950000</v>
      </c>
      <c r="D11" s="12">
        <v>1</v>
      </c>
      <c r="E11" s="46">
        <f t="shared" si="0"/>
        <v>950000</v>
      </c>
    </row>
    <row r="12" spans="1:14" ht="22.5" customHeight="1" x14ac:dyDescent="0.3">
      <c r="A12" s="6" t="s">
        <v>7</v>
      </c>
      <c r="B12" s="7"/>
      <c r="C12" s="47"/>
      <c r="D12" s="12"/>
      <c r="E12" s="46">
        <f t="shared" si="0"/>
        <v>0</v>
      </c>
    </row>
    <row r="13" spans="1:14" ht="22.5" customHeight="1" x14ac:dyDescent="0.3">
      <c r="A13" s="9" t="s">
        <v>8</v>
      </c>
      <c r="B13" s="7"/>
      <c r="C13" s="47"/>
      <c r="D13" s="12"/>
      <c r="E13" s="46">
        <f t="shared" si="0"/>
        <v>0</v>
      </c>
    </row>
    <row r="14" spans="1:14" ht="22.5" customHeight="1" x14ac:dyDescent="0.2">
      <c r="A14" s="10" t="s">
        <v>44</v>
      </c>
      <c r="B14" s="11" t="s">
        <v>9</v>
      </c>
      <c r="C14" s="46">
        <v>75000</v>
      </c>
      <c r="D14" s="12">
        <f>D2</f>
        <v>5</v>
      </c>
      <c r="E14" s="46">
        <f t="shared" si="0"/>
        <v>375000</v>
      </c>
    </row>
    <row r="15" spans="1:14" ht="22.5" customHeight="1" x14ac:dyDescent="0.2">
      <c r="A15" s="13" t="s">
        <v>78</v>
      </c>
      <c r="B15" s="11" t="s">
        <v>9</v>
      </c>
      <c r="C15" s="46">
        <v>35000</v>
      </c>
      <c r="D15" s="12">
        <f>D2</f>
        <v>5</v>
      </c>
      <c r="E15" s="46">
        <f t="shared" si="0"/>
        <v>175000</v>
      </c>
    </row>
    <row r="16" spans="1:14" ht="22.5" customHeight="1" x14ac:dyDescent="0.2">
      <c r="A16" s="10" t="s">
        <v>10</v>
      </c>
      <c r="B16" s="11" t="s">
        <v>9</v>
      </c>
      <c r="C16" s="46">
        <v>25000</v>
      </c>
      <c r="D16" s="12">
        <f>D2</f>
        <v>5</v>
      </c>
      <c r="E16" s="46">
        <f t="shared" si="0"/>
        <v>125000</v>
      </c>
    </row>
    <row r="17" spans="1:5" ht="22.5" customHeight="1" x14ac:dyDescent="0.2">
      <c r="A17" s="10" t="s">
        <v>60</v>
      </c>
      <c r="B17" s="11" t="s">
        <v>5</v>
      </c>
      <c r="C17" s="46">
        <v>250000</v>
      </c>
      <c r="D17" s="12">
        <v>1</v>
      </c>
      <c r="E17" s="46">
        <f t="shared" si="0"/>
        <v>250000</v>
      </c>
    </row>
    <row r="18" spans="1:5" ht="22.5" customHeight="1" x14ac:dyDescent="0.2">
      <c r="A18" s="13" t="s">
        <v>77</v>
      </c>
      <c r="B18" s="11" t="s">
        <v>9</v>
      </c>
      <c r="C18" s="46">
        <v>65000</v>
      </c>
      <c r="D18" s="12">
        <f>D2</f>
        <v>5</v>
      </c>
      <c r="E18" s="46">
        <f t="shared" si="0"/>
        <v>325000</v>
      </c>
    </row>
    <row r="19" spans="1:5" ht="22.5" customHeight="1" x14ac:dyDescent="0.3">
      <c r="A19" s="9" t="s">
        <v>12</v>
      </c>
      <c r="B19" s="7"/>
      <c r="C19" s="48"/>
      <c r="D19" s="12"/>
      <c r="E19" s="46"/>
    </row>
    <row r="20" spans="1:5" ht="22.5" customHeight="1" x14ac:dyDescent="0.2">
      <c r="A20" s="10" t="s">
        <v>43</v>
      </c>
      <c r="B20" s="11" t="s">
        <v>9</v>
      </c>
      <c r="C20" s="46">
        <v>160000</v>
      </c>
      <c r="D20" s="12">
        <f>D2</f>
        <v>5</v>
      </c>
      <c r="E20" s="46">
        <f t="shared" si="0"/>
        <v>800000</v>
      </c>
    </row>
    <row r="21" spans="1:5" ht="22.5" customHeight="1" x14ac:dyDescent="0.2">
      <c r="A21" s="13" t="s">
        <v>13</v>
      </c>
      <c r="B21" s="11" t="s">
        <v>9</v>
      </c>
      <c r="C21" s="46">
        <v>500000</v>
      </c>
      <c r="D21" s="12">
        <f>ROUNDUP(D2/4,0)</f>
        <v>2</v>
      </c>
      <c r="E21" s="46">
        <f t="shared" si="0"/>
        <v>1000000</v>
      </c>
    </row>
    <row r="22" spans="1:5" ht="22.5" customHeight="1" x14ac:dyDescent="0.3">
      <c r="A22" s="15" t="s">
        <v>14</v>
      </c>
      <c r="B22" s="7"/>
      <c r="C22" s="48"/>
      <c r="D22" s="12"/>
      <c r="E22" s="46"/>
    </row>
    <row r="23" spans="1:5" ht="22.5" customHeight="1" x14ac:dyDescent="0.2">
      <c r="A23" s="13" t="s">
        <v>15</v>
      </c>
      <c r="B23" s="11" t="s">
        <v>9</v>
      </c>
      <c r="C23" s="46">
        <v>90000</v>
      </c>
      <c r="D23" s="12">
        <f>D2</f>
        <v>5</v>
      </c>
      <c r="E23" s="46">
        <f t="shared" si="0"/>
        <v>450000</v>
      </c>
    </row>
    <row r="24" spans="1:5" ht="22.5" customHeight="1" x14ac:dyDescent="0.2">
      <c r="A24" s="10" t="s">
        <v>59</v>
      </c>
      <c r="B24" s="11" t="s">
        <v>5</v>
      </c>
      <c r="C24" s="46">
        <v>100000</v>
      </c>
      <c r="D24" s="12">
        <v>1</v>
      </c>
      <c r="E24" s="46">
        <f t="shared" si="0"/>
        <v>100000</v>
      </c>
    </row>
    <row r="25" spans="1:5" ht="22.5" customHeight="1" x14ac:dyDescent="0.3">
      <c r="A25" s="16" t="s">
        <v>16</v>
      </c>
      <c r="B25" s="7"/>
      <c r="C25" s="47"/>
      <c r="D25" s="12"/>
      <c r="E25" s="46"/>
    </row>
    <row r="26" spans="1:5" ht="22.5" customHeight="1" x14ac:dyDescent="0.3">
      <c r="A26" s="9" t="s">
        <v>17</v>
      </c>
      <c r="B26" s="7"/>
      <c r="C26" s="47"/>
      <c r="D26" s="12"/>
      <c r="E26" s="46"/>
    </row>
    <row r="27" spans="1:5" ht="22.5" customHeight="1" x14ac:dyDescent="0.2">
      <c r="A27" s="10" t="s">
        <v>21</v>
      </c>
      <c r="B27" s="11" t="s">
        <v>19</v>
      </c>
      <c r="C27" s="46">
        <v>1100000</v>
      </c>
      <c r="D27" s="12">
        <f>IF((($D$2&gt;=4)*($D$2&lt;=11))=1,$C$2,0)</f>
        <v>3</v>
      </c>
      <c r="E27" s="46">
        <f t="shared" ref="E27:E39" si="1">C27*D27</f>
        <v>3300000</v>
      </c>
    </row>
    <row r="28" spans="1:5" ht="22.5" customHeight="1" x14ac:dyDescent="0.3">
      <c r="A28" s="9" t="s">
        <v>23</v>
      </c>
      <c r="B28" s="7"/>
      <c r="C28" s="47"/>
      <c r="D28" s="12"/>
      <c r="E28" s="46"/>
    </row>
    <row r="29" spans="1:5" ht="22.5" customHeight="1" x14ac:dyDescent="0.2">
      <c r="A29" s="13" t="s">
        <v>24</v>
      </c>
      <c r="B29" s="11" t="s">
        <v>5</v>
      </c>
      <c r="C29" s="46">
        <v>200000</v>
      </c>
      <c r="D29" s="12">
        <f>IF((($D$2&gt;=10)*($D$2&lt;=11))=1,2,1)</f>
        <v>1</v>
      </c>
      <c r="E29" s="46">
        <f t="shared" si="1"/>
        <v>200000</v>
      </c>
    </row>
    <row r="30" spans="1:5" ht="22.5" customHeight="1" x14ac:dyDescent="0.3">
      <c r="A30" s="16" t="s">
        <v>28</v>
      </c>
      <c r="B30" s="7"/>
      <c r="C30" s="47"/>
      <c r="D30" s="12"/>
      <c r="E30" s="46"/>
    </row>
    <row r="31" spans="1:5" ht="22.5" customHeight="1" x14ac:dyDescent="0.3">
      <c r="A31" s="9" t="s">
        <v>29</v>
      </c>
      <c r="B31" s="7"/>
      <c r="C31" s="47"/>
      <c r="D31" s="12"/>
      <c r="E31" s="46"/>
    </row>
    <row r="32" spans="1:5" ht="22.5" customHeight="1" x14ac:dyDescent="0.2">
      <c r="A32" s="10" t="s">
        <v>55</v>
      </c>
      <c r="B32" s="11" t="s">
        <v>19</v>
      </c>
      <c r="C32" s="46">
        <v>250000</v>
      </c>
      <c r="D32" s="12">
        <f>IF((($D$2&gt;=4)*($D$2&lt;=11))=1,$C$2,0)</f>
        <v>3</v>
      </c>
      <c r="E32" s="46">
        <f t="shared" si="1"/>
        <v>750000</v>
      </c>
    </row>
    <row r="33" spans="1:5" ht="22.5" customHeight="1" x14ac:dyDescent="0.3">
      <c r="A33" s="16" t="s">
        <v>31</v>
      </c>
      <c r="B33" s="7"/>
      <c r="C33" s="47"/>
      <c r="D33" s="12"/>
      <c r="E33" s="46"/>
    </row>
    <row r="34" spans="1:5" ht="22.5" customHeight="1" x14ac:dyDescent="0.3">
      <c r="A34" s="9" t="s">
        <v>32</v>
      </c>
      <c r="B34" s="7"/>
      <c r="C34" s="47"/>
      <c r="D34" s="12"/>
      <c r="E34" s="46"/>
    </row>
    <row r="35" spans="1:5" ht="22.5" customHeight="1" x14ac:dyDescent="0.2">
      <c r="A35" s="13" t="s">
        <v>33</v>
      </c>
      <c r="B35" s="11" t="s">
        <v>66</v>
      </c>
      <c r="C35" s="46">
        <v>50000</v>
      </c>
      <c r="D35" s="12">
        <f>ROUNDUP(D2*C2*3/24,0)</f>
        <v>2</v>
      </c>
      <c r="E35" s="46">
        <f t="shared" si="1"/>
        <v>100000</v>
      </c>
    </row>
    <row r="36" spans="1:5" ht="22.5" customHeight="1" x14ac:dyDescent="0.2">
      <c r="A36" s="13" t="s">
        <v>35</v>
      </c>
      <c r="B36" s="11" t="s">
        <v>34</v>
      </c>
      <c r="C36" s="46">
        <v>100000</v>
      </c>
      <c r="D36" s="12">
        <v>1</v>
      </c>
      <c r="E36" s="46">
        <f t="shared" si="1"/>
        <v>100000</v>
      </c>
    </row>
    <row r="37" spans="1:5" ht="22.5" customHeight="1" x14ac:dyDescent="0.2">
      <c r="A37" s="13" t="s">
        <v>36</v>
      </c>
      <c r="B37" s="11" t="s">
        <v>9</v>
      </c>
      <c r="C37" s="46">
        <v>60000</v>
      </c>
      <c r="D37" s="12">
        <f>D2</f>
        <v>5</v>
      </c>
      <c r="E37" s="46">
        <f t="shared" si="1"/>
        <v>300000</v>
      </c>
    </row>
    <row r="38" spans="1:5" ht="22.5" customHeight="1" x14ac:dyDescent="0.3">
      <c r="A38" s="9" t="s">
        <v>39</v>
      </c>
      <c r="B38" s="7"/>
      <c r="C38" s="14"/>
      <c r="D38" s="12"/>
      <c r="E38" s="46"/>
    </row>
    <row r="39" spans="1:5" ht="22.5" customHeight="1" x14ac:dyDescent="0.2">
      <c r="A39" s="13" t="s">
        <v>40</v>
      </c>
      <c r="B39" s="11" t="s">
        <v>9</v>
      </c>
      <c r="C39" s="12">
        <v>16000</v>
      </c>
      <c r="D39" s="12">
        <f>D2</f>
        <v>5</v>
      </c>
      <c r="E39" s="46">
        <f t="shared" si="1"/>
        <v>80000</v>
      </c>
    </row>
    <row r="40" spans="1:5" s="1" customFormat="1" ht="30" customHeight="1" x14ac:dyDescent="0.2">
      <c r="A40" s="18" t="s">
        <v>67</v>
      </c>
      <c r="B40" s="17"/>
      <c r="C40" s="5"/>
      <c r="D40" s="12"/>
      <c r="E40" s="49">
        <f>SUM(E7:E39)</f>
        <v>11030000</v>
      </c>
    </row>
    <row r="41" spans="1:5" ht="36" customHeight="1" x14ac:dyDescent="0.2">
      <c r="A41" s="18" t="s">
        <v>72</v>
      </c>
      <c r="B41" s="8"/>
      <c r="C41" s="8"/>
      <c r="D41" s="8"/>
      <c r="E41" s="49">
        <f>E40/D2</f>
        <v>2206000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D160-13F7-1C4E-8493-93E9247187CD}">
  <sheetPr>
    <pageSetUpPr fitToPage="1"/>
  </sheetPr>
  <dimension ref="A1:E39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6</v>
      </c>
      <c r="E2" s="52">
        <v>2850000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3</v>
      </c>
      <c r="E7" s="46">
        <f t="shared" ref="E7:E22" si="0">C7*D7</f>
        <v>1012500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3</v>
      </c>
      <c r="E9" s="46">
        <f t="shared" si="0"/>
        <v>2250000</v>
      </c>
    </row>
    <row r="10" spans="1:5" ht="22.5" customHeight="1" x14ac:dyDescent="0.3">
      <c r="A10" s="6" t="s">
        <v>7</v>
      </c>
      <c r="B10" s="7"/>
      <c r="C10" s="47"/>
      <c r="D10" s="12"/>
      <c r="E10" s="46"/>
    </row>
    <row r="11" spans="1:5" ht="22.5" customHeight="1" x14ac:dyDescent="0.3">
      <c r="A11" s="9" t="s">
        <v>8</v>
      </c>
      <c r="B11" s="7"/>
      <c r="C11" s="47"/>
      <c r="D11" s="12"/>
      <c r="E11" s="46"/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6</v>
      </c>
      <c r="E12" s="46">
        <f t="shared" si="0"/>
        <v>450000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6</v>
      </c>
      <c r="E13" s="46">
        <f t="shared" si="0"/>
        <v>210000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6</v>
      </c>
      <c r="E14" s="46">
        <f t="shared" si="0"/>
        <v>150000</v>
      </c>
    </row>
    <row r="15" spans="1:5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5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6</v>
      </c>
      <c r="E16" s="46">
        <f t="shared" si="0"/>
        <v>390000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6</v>
      </c>
      <c r="E18" s="46">
        <f t="shared" si="0"/>
        <v>960000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2</v>
      </c>
      <c r="E19" s="46">
        <f t="shared" si="0"/>
        <v>1000000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6</v>
      </c>
      <c r="E21" s="46">
        <f t="shared" si="0"/>
        <v>540000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0" t="s">
        <v>21</v>
      </c>
      <c r="B25" s="11" t="s">
        <v>19</v>
      </c>
      <c r="C25" s="46">
        <v>1100000</v>
      </c>
      <c r="D25" s="12">
        <f>IF((($D$2&gt;=4)*($D$2&lt;=11))=1,$C$2,0)</f>
        <v>3</v>
      </c>
      <c r="E25" s="46">
        <f t="shared" ref="E25:E37" si="1">C25*D25</f>
        <v>3300000</v>
      </c>
    </row>
    <row r="26" spans="1:5" ht="22.5" customHeight="1" x14ac:dyDescent="0.3">
      <c r="A26" s="9" t="s">
        <v>23</v>
      </c>
      <c r="B26" s="7"/>
      <c r="C26" s="47"/>
      <c r="D26" s="12"/>
      <c r="E26" s="46"/>
    </row>
    <row r="27" spans="1:5" ht="22.5" customHeight="1" x14ac:dyDescent="0.2">
      <c r="A27" s="13" t="s">
        <v>24</v>
      </c>
      <c r="B27" s="11" t="s">
        <v>5</v>
      </c>
      <c r="C27" s="46">
        <v>200000</v>
      </c>
      <c r="D27" s="12">
        <f>IF((($D$2&gt;=10)*($D$2&lt;=11))=1,2,1)</f>
        <v>1</v>
      </c>
      <c r="E27" s="46">
        <f t="shared" si="1"/>
        <v>200000</v>
      </c>
    </row>
    <row r="28" spans="1:5" ht="22.5" customHeight="1" x14ac:dyDescent="0.3">
      <c r="A28" s="16" t="s">
        <v>28</v>
      </c>
      <c r="B28" s="7"/>
      <c r="C28" s="47"/>
      <c r="D28" s="12"/>
      <c r="E28" s="46"/>
    </row>
    <row r="29" spans="1:5" ht="22.5" customHeight="1" x14ac:dyDescent="0.3">
      <c r="A29" s="9" t="s">
        <v>29</v>
      </c>
      <c r="B29" s="7"/>
      <c r="C29" s="47"/>
      <c r="D29" s="12"/>
      <c r="E29" s="46"/>
    </row>
    <row r="30" spans="1:5" ht="22.5" customHeight="1" x14ac:dyDescent="0.2">
      <c r="A30" s="10" t="s">
        <v>55</v>
      </c>
      <c r="B30" s="11" t="s">
        <v>19</v>
      </c>
      <c r="C30" s="46">
        <v>250000</v>
      </c>
      <c r="D30" s="12">
        <f>IF((($D$2&gt;=4)*($D$2&lt;=11))=1,$C$2,0)</f>
        <v>3</v>
      </c>
      <c r="E30" s="46">
        <f t="shared" si="1"/>
        <v>750000</v>
      </c>
    </row>
    <row r="31" spans="1:5" ht="22.5" customHeight="1" x14ac:dyDescent="0.3">
      <c r="A31" s="16" t="s">
        <v>31</v>
      </c>
      <c r="B31" s="7"/>
      <c r="C31" s="47"/>
      <c r="D31" s="12"/>
      <c r="E31" s="46"/>
    </row>
    <row r="32" spans="1:5" ht="22.5" customHeight="1" x14ac:dyDescent="0.3">
      <c r="A32" s="9" t="s">
        <v>32</v>
      </c>
      <c r="B32" s="7"/>
      <c r="C32" s="47"/>
      <c r="D32" s="12"/>
      <c r="E32" s="46"/>
    </row>
    <row r="33" spans="1:5" ht="22.5" customHeight="1" x14ac:dyDescent="0.2">
      <c r="A33" s="13" t="s">
        <v>33</v>
      </c>
      <c r="B33" s="11" t="s">
        <v>66</v>
      </c>
      <c r="C33" s="46">
        <v>50000</v>
      </c>
      <c r="D33" s="12">
        <f>ROUNDUP(D2*C2*3/24,0)</f>
        <v>3</v>
      </c>
      <c r="E33" s="46">
        <f t="shared" si="1"/>
        <v>150000</v>
      </c>
    </row>
    <row r="34" spans="1:5" ht="22.5" customHeight="1" x14ac:dyDescent="0.2">
      <c r="A34" s="13" t="s">
        <v>35</v>
      </c>
      <c r="B34" s="11" t="s">
        <v>34</v>
      </c>
      <c r="C34" s="46">
        <v>100000</v>
      </c>
      <c r="D34" s="12">
        <v>1</v>
      </c>
      <c r="E34" s="46">
        <f t="shared" si="1"/>
        <v>100000</v>
      </c>
    </row>
    <row r="35" spans="1:5" ht="22.5" customHeight="1" x14ac:dyDescent="0.2">
      <c r="A35" s="13" t="s">
        <v>36</v>
      </c>
      <c r="B35" s="11" t="s">
        <v>9</v>
      </c>
      <c r="C35" s="46">
        <v>60000</v>
      </c>
      <c r="D35" s="12">
        <f>D2</f>
        <v>6</v>
      </c>
      <c r="E35" s="46">
        <f t="shared" si="1"/>
        <v>360000</v>
      </c>
    </row>
    <row r="36" spans="1:5" ht="22.5" customHeight="1" x14ac:dyDescent="0.3">
      <c r="A36" s="9" t="s">
        <v>39</v>
      </c>
      <c r="B36" s="7"/>
      <c r="C36" s="14"/>
      <c r="D36" s="12"/>
      <c r="E36" s="46"/>
    </row>
    <row r="37" spans="1:5" ht="22.5" customHeight="1" x14ac:dyDescent="0.2">
      <c r="A37" s="13" t="s">
        <v>40</v>
      </c>
      <c r="B37" s="11" t="s">
        <v>9</v>
      </c>
      <c r="C37" s="12">
        <v>16000</v>
      </c>
      <c r="D37" s="12">
        <f>D2</f>
        <v>6</v>
      </c>
      <c r="E37" s="46">
        <f t="shared" si="1"/>
        <v>96000</v>
      </c>
    </row>
    <row r="38" spans="1:5" s="1" customFormat="1" ht="30" customHeight="1" x14ac:dyDescent="0.2">
      <c r="A38" s="18" t="s">
        <v>67</v>
      </c>
      <c r="B38" s="17"/>
      <c r="C38" s="5"/>
      <c r="D38" s="12"/>
      <c r="E38" s="49">
        <f>SUM(E7:E37)</f>
        <v>12268500</v>
      </c>
    </row>
    <row r="39" spans="1:5" ht="36" customHeight="1" x14ac:dyDescent="0.2">
      <c r="A39" s="18" t="s">
        <v>72</v>
      </c>
      <c r="B39" s="8"/>
      <c r="C39" s="8"/>
      <c r="D39" s="8"/>
      <c r="E39" s="49">
        <f>E38/D2</f>
        <v>2044750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57FC-2C6C-9C40-AD51-68DFDD678B01}">
  <sheetPr>
    <pageSetUpPr fitToPage="1"/>
  </sheetPr>
  <dimension ref="A1:N41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14" ht="27.75" customHeight="1" x14ac:dyDescent="0.2">
      <c r="A2" s="3" t="s">
        <v>79</v>
      </c>
      <c r="B2" s="3"/>
      <c r="C2" s="3">
        <v>3</v>
      </c>
      <c r="D2" s="50">
        <v>7</v>
      </c>
      <c r="E2" s="52">
        <v>2850000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49</v>
      </c>
      <c r="B7" s="11" t="s">
        <v>5</v>
      </c>
      <c r="C7" s="46">
        <v>337500</v>
      </c>
      <c r="D7" s="12">
        <v>2</v>
      </c>
      <c r="E7" s="46">
        <f t="shared" ref="E7:E24" si="0">C7*D7</f>
        <v>675000</v>
      </c>
    </row>
    <row r="8" spans="1:14" ht="22.5" customHeight="1" x14ac:dyDescent="0.25">
      <c r="A8" s="10" t="s">
        <v>53</v>
      </c>
      <c r="B8" s="11" t="s">
        <v>5</v>
      </c>
      <c r="C8" s="46">
        <v>562500</v>
      </c>
      <c r="D8" s="12">
        <v>1</v>
      </c>
      <c r="E8" s="46">
        <f t="shared" si="0"/>
        <v>562500</v>
      </c>
      <c r="H8" s="39"/>
      <c r="I8" s="40"/>
      <c r="J8" s="40"/>
      <c r="K8" s="41"/>
      <c r="L8" s="41"/>
      <c r="M8" s="41"/>
      <c r="N8" s="41"/>
    </row>
    <row r="9" spans="1:14" ht="22.5" customHeight="1" x14ac:dyDescent="0.3">
      <c r="A9" s="9" t="s">
        <v>6</v>
      </c>
      <c r="B9" s="7"/>
      <c r="C9" s="47"/>
      <c r="D9" s="12"/>
      <c r="E9" s="46"/>
    </row>
    <row r="10" spans="1:14" ht="22.5" customHeight="1" x14ac:dyDescent="0.2">
      <c r="A10" s="10" t="s">
        <v>46</v>
      </c>
      <c r="B10" s="11" t="s">
        <v>5</v>
      </c>
      <c r="C10" s="46">
        <v>750000</v>
      </c>
      <c r="D10" s="12">
        <v>2</v>
      </c>
      <c r="E10" s="46">
        <f t="shared" si="0"/>
        <v>1500000</v>
      </c>
    </row>
    <row r="11" spans="1:14" ht="22.5" customHeight="1" x14ac:dyDescent="0.2">
      <c r="A11" s="10" t="s">
        <v>47</v>
      </c>
      <c r="B11" s="11" t="s">
        <v>5</v>
      </c>
      <c r="C11" s="46">
        <v>950000</v>
      </c>
      <c r="D11" s="12">
        <v>1</v>
      </c>
      <c r="E11" s="46">
        <f t="shared" si="0"/>
        <v>950000</v>
      </c>
    </row>
    <row r="12" spans="1:14" ht="22.5" customHeight="1" x14ac:dyDescent="0.3">
      <c r="A12" s="6" t="s">
        <v>7</v>
      </c>
      <c r="B12" s="7"/>
      <c r="C12" s="47"/>
      <c r="D12" s="12"/>
      <c r="E12" s="46"/>
    </row>
    <row r="13" spans="1:14" ht="22.5" customHeight="1" x14ac:dyDescent="0.3">
      <c r="A13" s="9" t="s">
        <v>8</v>
      </c>
      <c r="B13" s="7"/>
      <c r="C13" s="47"/>
      <c r="D13" s="12"/>
      <c r="E13" s="46"/>
    </row>
    <row r="14" spans="1:14" ht="22.5" customHeight="1" x14ac:dyDescent="0.2">
      <c r="A14" s="10" t="s">
        <v>44</v>
      </c>
      <c r="B14" s="11" t="s">
        <v>9</v>
      </c>
      <c r="C14" s="46">
        <v>75000</v>
      </c>
      <c r="D14" s="12">
        <f>D2</f>
        <v>7</v>
      </c>
      <c r="E14" s="46">
        <f t="shared" si="0"/>
        <v>525000</v>
      </c>
    </row>
    <row r="15" spans="1:14" ht="22.5" customHeight="1" x14ac:dyDescent="0.2">
      <c r="A15" s="13" t="s">
        <v>78</v>
      </c>
      <c r="B15" s="11" t="s">
        <v>9</v>
      </c>
      <c r="C15" s="46">
        <v>35000</v>
      </c>
      <c r="D15" s="12">
        <f>D2</f>
        <v>7</v>
      </c>
      <c r="E15" s="46">
        <f t="shared" si="0"/>
        <v>245000</v>
      </c>
    </row>
    <row r="16" spans="1:14" ht="22.5" customHeight="1" x14ac:dyDescent="0.2">
      <c r="A16" s="10" t="s">
        <v>10</v>
      </c>
      <c r="B16" s="11" t="s">
        <v>9</v>
      </c>
      <c r="C16" s="46">
        <v>25000</v>
      </c>
      <c r="D16" s="12">
        <f>D2</f>
        <v>7</v>
      </c>
      <c r="E16" s="46">
        <f t="shared" si="0"/>
        <v>175000</v>
      </c>
    </row>
    <row r="17" spans="1:5" ht="22.5" customHeight="1" x14ac:dyDescent="0.2">
      <c r="A17" s="10" t="s">
        <v>60</v>
      </c>
      <c r="B17" s="11" t="s">
        <v>5</v>
      </c>
      <c r="C17" s="46">
        <v>250000</v>
      </c>
      <c r="D17" s="12">
        <v>1</v>
      </c>
      <c r="E17" s="46">
        <f t="shared" si="0"/>
        <v>250000</v>
      </c>
    </row>
    <row r="18" spans="1:5" ht="22.5" customHeight="1" x14ac:dyDescent="0.2">
      <c r="A18" s="13" t="s">
        <v>77</v>
      </c>
      <c r="B18" s="11" t="s">
        <v>9</v>
      </c>
      <c r="C18" s="46">
        <v>65000</v>
      </c>
      <c r="D18" s="12">
        <f>D2</f>
        <v>7</v>
      </c>
      <c r="E18" s="46">
        <f t="shared" si="0"/>
        <v>455000</v>
      </c>
    </row>
    <row r="19" spans="1:5" ht="22.5" customHeight="1" x14ac:dyDescent="0.3">
      <c r="A19" s="9" t="s">
        <v>12</v>
      </c>
      <c r="B19" s="7"/>
      <c r="C19" s="48"/>
      <c r="D19" s="12"/>
      <c r="E19" s="46"/>
    </row>
    <row r="20" spans="1:5" ht="22.5" customHeight="1" x14ac:dyDescent="0.2">
      <c r="A20" s="10" t="s">
        <v>43</v>
      </c>
      <c r="B20" s="11" t="s">
        <v>9</v>
      </c>
      <c r="C20" s="46">
        <v>160000</v>
      </c>
      <c r="D20" s="12">
        <f>D2</f>
        <v>7</v>
      </c>
      <c r="E20" s="46">
        <f t="shared" si="0"/>
        <v>1120000</v>
      </c>
    </row>
    <row r="21" spans="1:5" ht="22.5" customHeight="1" x14ac:dyDescent="0.2">
      <c r="A21" s="13" t="s">
        <v>13</v>
      </c>
      <c r="B21" s="11" t="s">
        <v>9</v>
      </c>
      <c r="C21" s="46">
        <v>500000</v>
      </c>
      <c r="D21" s="12">
        <f>ROUNDUP(D2/4,0)</f>
        <v>2</v>
      </c>
      <c r="E21" s="46">
        <f t="shared" si="0"/>
        <v>1000000</v>
      </c>
    </row>
    <row r="22" spans="1:5" ht="22.5" customHeight="1" x14ac:dyDescent="0.3">
      <c r="A22" s="15" t="s">
        <v>14</v>
      </c>
      <c r="B22" s="7"/>
      <c r="C22" s="48"/>
      <c r="D22" s="12"/>
      <c r="E22" s="46"/>
    </row>
    <row r="23" spans="1:5" ht="22.5" customHeight="1" x14ac:dyDescent="0.2">
      <c r="A23" s="13" t="s">
        <v>15</v>
      </c>
      <c r="B23" s="11" t="s">
        <v>9</v>
      </c>
      <c r="C23" s="46">
        <v>90000</v>
      </c>
      <c r="D23" s="12">
        <f>D2</f>
        <v>7</v>
      </c>
      <c r="E23" s="46">
        <f t="shared" si="0"/>
        <v>630000</v>
      </c>
    </row>
    <row r="24" spans="1:5" ht="22.5" customHeight="1" x14ac:dyDescent="0.2">
      <c r="A24" s="10" t="s">
        <v>59</v>
      </c>
      <c r="B24" s="11" t="s">
        <v>5</v>
      </c>
      <c r="C24" s="46">
        <v>100000</v>
      </c>
      <c r="D24" s="12">
        <v>1</v>
      </c>
      <c r="E24" s="46">
        <f t="shared" si="0"/>
        <v>100000</v>
      </c>
    </row>
    <row r="25" spans="1:5" ht="22.5" customHeight="1" x14ac:dyDescent="0.3">
      <c r="A25" s="16" t="s">
        <v>16</v>
      </c>
      <c r="B25" s="7"/>
      <c r="C25" s="47"/>
      <c r="D25" s="12"/>
      <c r="E25" s="46"/>
    </row>
    <row r="26" spans="1:5" ht="22.5" customHeight="1" x14ac:dyDescent="0.3">
      <c r="A26" s="9" t="s">
        <v>17</v>
      </c>
      <c r="B26" s="7"/>
      <c r="C26" s="47"/>
      <c r="D26" s="12"/>
      <c r="E26" s="46"/>
    </row>
    <row r="27" spans="1:5" ht="22.5" customHeight="1" x14ac:dyDescent="0.2">
      <c r="A27" s="10" t="s">
        <v>21</v>
      </c>
      <c r="B27" s="11" t="s">
        <v>19</v>
      </c>
      <c r="C27" s="46">
        <v>1100000</v>
      </c>
      <c r="D27" s="12">
        <f>IF((($D$2&gt;=4)*($D$2&lt;=11))=1,$C$2,0)</f>
        <v>3</v>
      </c>
      <c r="E27" s="46">
        <f t="shared" ref="E27:E39" si="1">C27*D27</f>
        <v>3300000</v>
      </c>
    </row>
    <row r="28" spans="1:5" ht="22.5" customHeight="1" x14ac:dyDescent="0.3">
      <c r="A28" s="9" t="s">
        <v>23</v>
      </c>
      <c r="B28" s="7"/>
      <c r="C28" s="47"/>
      <c r="D28" s="12"/>
      <c r="E28" s="46"/>
    </row>
    <row r="29" spans="1:5" ht="22.5" customHeight="1" x14ac:dyDescent="0.2">
      <c r="A29" s="13" t="s">
        <v>24</v>
      </c>
      <c r="B29" s="11" t="s">
        <v>5</v>
      </c>
      <c r="C29" s="46">
        <v>200000</v>
      </c>
      <c r="D29" s="12">
        <f>IF((($D$2&gt;=10)*($D$2&lt;=11))=1,2,1)</f>
        <v>1</v>
      </c>
      <c r="E29" s="46">
        <f t="shared" si="1"/>
        <v>200000</v>
      </c>
    </row>
    <row r="30" spans="1:5" ht="22.5" customHeight="1" x14ac:dyDescent="0.3">
      <c r="A30" s="16" t="s">
        <v>28</v>
      </c>
      <c r="B30" s="7"/>
      <c r="C30" s="47"/>
      <c r="D30" s="12"/>
      <c r="E30" s="46"/>
    </row>
    <row r="31" spans="1:5" ht="22.5" customHeight="1" x14ac:dyDescent="0.3">
      <c r="A31" s="9" t="s">
        <v>29</v>
      </c>
      <c r="B31" s="7"/>
      <c r="C31" s="47"/>
      <c r="D31" s="12"/>
      <c r="E31" s="46"/>
    </row>
    <row r="32" spans="1:5" ht="22.5" customHeight="1" x14ac:dyDescent="0.2">
      <c r="A32" s="10" t="s">
        <v>55</v>
      </c>
      <c r="B32" s="11" t="s">
        <v>19</v>
      </c>
      <c r="C32" s="46">
        <v>250000</v>
      </c>
      <c r="D32" s="12">
        <f>IF((($D$2&gt;=4)*($D$2&lt;=11))=1,$C$2,0)</f>
        <v>3</v>
      </c>
      <c r="E32" s="46">
        <f t="shared" si="1"/>
        <v>750000</v>
      </c>
    </row>
    <row r="33" spans="1:5" ht="22.5" customHeight="1" x14ac:dyDescent="0.3">
      <c r="A33" s="16" t="s">
        <v>31</v>
      </c>
      <c r="B33" s="7"/>
      <c r="C33" s="47"/>
      <c r="D33" s="12"/>
      <c r="E33" s="46"/>
    </row>
    <row r="34" spans="1:5" ht="22.5" customHeight="1" x14ac:dyDescent="0.3">
      <c r="A34" s="9" t="s">
        <v>32</v>
      </c>
      <c r="B34" s="7"/>
      <c r="C34" s="47"/>
      <c r="D34" s="12"/>
      <c r="E34" s="46"/>
    </row>
    <row r="35" spans="1:5" ht="22.5" customHeight="1" x14ac:dyDescent="0.2">
      <c r="A35" s="13" t="s">
        <v>33</v>
      </c>
      <c r="B35" s="11" t="s">
        <v>66</v>
      </c>
      <c r="C35" s="46">
        <v>50000</v>
      </c>
      <c r="D35" s="12">
        <f>ROUNDUP(D2*C2*3/24,0)</f>
        <v>3</v>
      </c>
      <c r="E35" s="46">
        <f t="shared" si="1"/>
        <v>150000</v>
      </c>
    </row>
    <row r="36" spans="1:5" ht="22.5" customHeight="1" x14ac:dyDescent="0.2">
      <c r="A36" s="13" t="s">
        <v>35</v>
      </c>
      <c r="B36" s="11" t="s">
        <v>34</v>
      </c>
      <c r="C36" s="46">
        <v>100000</v>
      </c>
      <c r="D36" s="12">
        <v>1</v>
      </c>
      <c r="E36" s="46">
        <f t="shared" si="1"/>
        <v>100000</v>
      </c>
    </row>
    <row r="37" spans="1:5" ht="22.5" customHeight="1" x14ac:dyDescent="0.2">
      <c r="A37" s="13" t="s">
        <v>36</v>
      </c>
      <c r="B37" s="11" t="s">
        <v>9</v>
      </c>
      <c r="C37" s="46">
        <v>60000</v>
      </c>
      <c r="D37" s="12">
        <f>D2</f>
        <v>7</v>
      </c>
      <c r="E37" s="46">
        <f t="shared" si="1"/>
        <v>420000</v>
      </c>
    </row>
    <row r="38" spans="1:5" ht="22.5" customHeight="1" x14ac:dyDescent="0.3">
      <c r="A38" s="9" t="s">
        <v>39</v>
      </c>
      <c r="B38" s="7"/>
      <c r="C38" s="14"/>
      <c r="D38" s="12"/>
      <c r="E38" s="46"/>
    </row>
    <row r="39" spans="1:5" ht="22.5" customHeight="1" x14ac:dyDescent="0.2">
      <c r="A39" s="13" t="s">
        <v>40</v>
      </c>
      <c r="B39" s="11" t="s">
        <v>9</v>
      </c>
      <c r="C39" s="12">
        <v>16000</v>
      </c>
      <c r="D39" s="12">
        <f>D2</f>
        <v>7</v>
      </c>
      <c r="E39" s="46">
        <f t="shared" si="1"/>
        <v>112000</v>
      </c>
    </row>
    <row r="40" spans="1:5" s="1" customFormat="1" ht="30" customHeight="1" x14ac:dyDescent="0.2">
      <c r="A40" s="18" t="s">
        <v>67</v>
      </c>
      <c r="B40" s="17"/>
      <c r="C40" s="5"/>
      <c r="D40" s="12"/>
      <c r="E40" s="49">
        <f>SUM(E7:E39)</f>
        <v>13219500</v>
      </c>
    </row>
    <row r="41" spans="1:5" ht="36" customHeight="1" x14ac:dyDescent="0.2">
      <c r="A41" s="18" t="s">
        <v>72</v>
      </c>
      <c r="B41" s="8"/>
      <c r="C41" s="8"/>
      <c r="D41" s="8"/>
      <c r="E41" s="49">
        <f>E40/D2</f>
        <v>1888500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B235-F2B5-0045-9DD1-DF888DDCABFE}">
  <sheetPr>
    <pageSetUpPr fitToPage="1"/>
  </sheetPr>
  <dimension ref="A1:E39"/>
  <sheetViews>
    <sheetView zoomScale="85" zoomScaleNormal="85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8</v>
      </c>
      <c r="E2" s="52">
        <v>2550000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4</v>
      </c>
      <c r="E7" s="46">
        <f t="shared" ref="E7:E22" si="0">C7*D7</f>
        <v>1350000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4</v>
      </c>
      <c r="E9" s="46">
        <f t="shared" si="0"/>
        <v>3000000</v>
      </c>
    </row>
    <row r="10" spans="1:5" ht="22.5" customHeight="1" x14ac:dyDescent="0.3">
      <c r="A10" s="6" t="s">
        <v>7</v>
      </c>
      <c r="B10" s="7"/>
      <c r="C10" s="47"/>
      <c r="D10" s="12"/>
      <c r="E10" s="46"/>
    </row>
    <row r="11" spans="1:5" ht="22.5" customHeight="1" x14ac:dyDescent="0.3">
      <c r="A11" s="9" t="s">
        <v>8</v>
      </c>
      <c r="B11" s="7"/>
      <c r="C11" s="47"/>
      <c r="D11" s="12"/>
      <c r="E11" s="46"/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8</v>
      </c>
      <c r="E12" s="46">
        <f t="shared" si="0"/>
        <v>600000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8</v>
      </c>
      <c r="E13" s="46">
        <f t="shared" si="0"/>
        <v>280000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8</v>
      </c>
      <c r="E14" s="46">
        <f t="shared" si="0"/>
        <v>200000</v>
      </c>
    </row>
    <row r="15" spans="1:5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5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8</v>
      </c>
      <c r="E16" s="46">
        <f t="shared" si="0"/>
        <v>520000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8</v>
      </c>
      <c r="E18" s="46">
        <f t="shared" si="0"/>
        <v>1280000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2</v>
      </c>
      <c r="E19" s="46">
        <f t="shared" si="0"/>
        <v>1000000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8</v>
      </c>
      <c r="E21" s="46">
        <f t="shared" si="0"/>
        <v>720000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0" t="s">
        <v>21</v>
      </c>
      <c r="B25" s="11" t="s">
        <v>19</v>
      </c>
      <c r="C25" s="46">
        <v>1100000</v>
      </c>
      <c r="D25" s="12">
        <f>IF((($D$2&gt;=4)*($D$2&lt;=11))=1,$C$2,0)</f>
        <v>3</v>
      </c>
      <c r="E25" s="46">
        <f t="shared" ref="E25:E37" si="1">C25*D25</f>
        <v>3300000</v>
      </c>
    </row>
    <row r="26" spans="1:5" ht="22.5" customHeight="1" x14ac:dyDescent="0.3">
      <c r="A26" s="9" t="s">
        <v>23</v>
      </c>
      <c r="B26" s="7"/>
      <c r="C26" s="47"/>
      <c r="D26" s="12"/>
      <c r="E26" s="46"/>
    </row>
    <row r="27" spans="1:5" ht="22.5" customHeight="1" x14ac:dyDescent="0.2">
      <c r="A27" s="13" t="s">
        <v>24</v>
      </c>
      <c r="B27" s="11" t="s">
        <v>5</v>
      </c>
      <c r="C27" s="46">
        <v>200000</v>
      </c>
      <c r="D27" s="12">
        <f>IF((($D$2&gt;=10)*($D$2&lt;=11))=1,2,1)</f>
        <v>1</v>
      </c>
      <c r="E27" s="46">
        <f t="shared" si="1"/>
        <v>200000</v>
      </c>
    </row>
    <row r="28" spans="1:5" ht="22.5" customHeight="1" x14ac:dyDescent="0.3">
      <c r="A28" s="16" t="s">
        <v>28</v>
      </c>
      <c r="B28" s="7"/>
      <c r="C28" s="47"/>
      <c r="D28" s="12"/>
      <c r="E28" s="46"/>
    </row>
    <row r="29" spans="1:5" ht="22.5" customHeight="1" x14ac:dyDescent="0.3">
      <c r="A29" s="9" t="s">
        <v>29</v>
      </c>
      <c r="B29" s="7"/>
      <c r="C29" s="47"/>
      <c r="D29" s="12"/>
      <c r="E29" s="46"/>
    </row>
    <row r="30" spans="1:5" ht="22.5" customHeight="1" x14ac:dyDescent="0.2">
      <c r="A30" s="10" t="s">
        <v>55</v>
      </c>
      <c r="B30" s="11" t="s">
        <v>19</v>
      </c>
      <c r="C30" s="46">
        <v>250000</v>
      </c>
      <c r="D30" s="12">
        <f>IF((($D$2&gt;=4)*($D$2&lt;=11))=1,$C$2,0)</f>
        <v>3</v>
      </c>
      <c r="E30" s="46">
        <f t="shared" si="1"/>
        <v>750000</v>
      </c>
    </row>
    <row r="31" spans="1:5" ht="22.5" customHeight="1" x14ac:dyDescent="0.3">
      <c r="A31" s="16" t="s">
        <v>31</v>
      </c>
      <c r="B31" s="7"/>
      <c r="C31" s="47"/>
      <c r="D31" s="12"/>
      <c r="E31" s="46"/>
    </row>
    <row r="32" spans="1:5" ht="22.5" customHeight="1" x14ac:dyDescent="0.3">
      <c r="A32" s="9" t="s">
        <v>32</v>
      </c>
      <c r="B32" s="7"/>
      <c r="C32" s="47"/>
      <c r="D32" s="12"/>
      <c r="E32" s="46"/>
    </row>
    <row r="33" spans="1:5" ht="22.5" customHeight="1" x14ac:dyDescent="0.2">
      <c r="A33" s="13" t="s">
        <v>33</v>
      </c>
      <c r="B33" s="11" t="s">
        <v>66</v>
      </c>
      <c r="C33" s="46">
        <v>50000</v>
      </c>
      <c r="D33" s="12">
        <f>ROUNDUP(D2*C2*3/24,0)</f>
        <v>3</v>
      </c>
      <c r="E33" s="46">
        <f t="shared" si="1"/>
        <v>150000</v>
      </c>
    </row>
    <row r="34" spans="1:5" ht="22.5" customHeight="1" x14ac:dyDescent="0.2">
      <c r="A34" s="13" t="s">
        <v>35</v>
      </c>
      <c r="B34" s="11" t="s">
        <v>34</v>
      </c>
      <c r="C34" s="46">
        <v>100000</v>
      </c>
      <c r="D34" s="12">
        <v>1</v>
      </c>
      <c r="E34" s="46">
        <f t="shared" si="1"/>
        <v>100000</v>
      </c>
    </row>
    <row r="35" spans="1:5" ht="22.5" customHeight="1" x14ac:dyDescent="0.2">
      <c r="A35" s="13" t="s">
        <v>36</v>
      </c>
      <c r="B35" s="11" t="s">
        <v>9</v>
      </c>
      <c r="C35" s="46">
        <v>60000</v>
      </c>
      <c r="D35" s="12">
        <f>D2</f>
        <v>8</v>
      </c>
      <c r="E35" s="46">
        <f t="shared" si="1"/>
        <v>480000</v>
      </c>
    </row>
    <row r="36" spans="1:5" ht="22.5" customHeight="1" x14ac:dyDescent="0.3">
      <c r="A36" s="9" t="s">
        <v>39</v>
      </c>
      <c r="B36" s="7"/>
      <c r="C36" s="14"/>
      <c r="D36" s="12"/>
      <c r="E36" s="46"/>
    </row>
    <row r="37" spans="1:5" ht="22.5" customHeight="1" x14ac:dyDescent="0.2">
      <c r="A37" s="13" t="s">
        <v>40</v>
      </c>
      <c r="B37" s="11" t="s">
        <v>9</v>
      </c>
      <c r="C37" s="12">
        <v>16000</v>
      </c>
      <c r="D37" s="12">
        <f>D2</f>
        <v>8</v>
      </c>
      <c r="E37" s="46">
        <f t="shared" si="1"/>
        <v>128000</v>
      </c>
    </row>
    <row r="38" spans="1:5" s="1" customFormat="1" ht="30" customHeight="1" x14ac:dyDescent="0.2">
      <c r="A38" s="18" t="s">
        <v>67</v>
      </c>
      <c r="B38" s="17"/>
      <c r="C38" s="5"/>
      <c r="D38" s="12"/>
      <c r="E38" s="49">
        <f>SUM(E7:E37)</f>
        <v>14408000</v>
      </c>
    </row>
    <row r="39" spans="1:5" ht="36" customHeight="1" x14ac:dyDescent="0.2">
      <c r="A39" s="18" t="s">
        <v>72</v>
      </c>
      <c r="B39" s="8"/>
      <c r="C39" s="8"/>
      <c r="D39" s="8"/>
      <c r="E39" s="49">
        <f>E38/D2</f>
        <v>1801000</v>
      </c>
    </row>
  </sheetData>
  <pageMargins left="0.25" right="0.25" top="0.75" bottom="0.75" header="0.3" footer="0.3"/>
  <pageSetup paperSize="9" scale="53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DCC3-80BF-D347-9A0B-4DA6319C60B4}">
  <sheetPr>
    <pageSetUpPr fitToPage="1"/>
  </sheetPr>
  <dimension ref="A1:N41"/>
  <sheetViews>
    <sheetView zoomScale="85" zoomScaleNormal="85" workbookViewId="0">
      <selection activeCell="E1" sqref="E1:E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14" ht="27.75" customHeight="1" x14ac:dyDescent="0.2">
      <c r="A2" s="3" t="s">
        <v>79</v>
      </c>
      <c r="B2" s="3"/>
      <c r="C2" s="3">
        <v>3</v>
      </c>
      <c r="D2" s="50">
        <v>9</v>
      </c>
      <c r="E2" s="52">
        <v>2550000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49</v>
      </c>
      <c r="B7" s="11" t="s">
        <v>5</v>
      </c>
      <c r="C7" s="46">
        <v>337500</v>
      </c>
      <c r="D7" s="12">
        <v>3</v>
      </c>
      <c r="E7" s="46">
        <f t="shared" ref="E7:E24" si="0">C7*D7</f>
        <v>1012500</v>
      </c>
    </row>
    <row r="8" spans="1:14" ht="22.5" customHeight="1" x14ac:dyDescent="0.25">
      <c r="A8" s="10" t="s">
        <v>53</v>
      </c>
      <c r="B8" s="11" t="s">
        <v>5</v>
      </c>
      <c r="C8" s="46">
        <v>562500</v>
      </c>
      <c r="D8" s="12">
        <v>1</v>
      </c>
      <c r="E8" s="46">
        <f t="shared" si="0"/>
        <v>562500</v>
      </c>
      <c r="H8" s="39"/>
      <c r="I8" s="40"/>
      <c r="J8" s="40"/>
      <c r="K8" s="41"/>
      <c r="L8" s="41"/>
      <c r="M8" s="41"/>
      <c r="N8" s="41"/>
    </row>
    <row r="9" spans="1:14" ht="22.5" customHeight="1" x14ac:dyDescent="0.3">
      <c r="A9" s="9" t="s">
        <v>6</v>
      </c>
      <c r="B9" s="7"/>
      <c r="C9" s="47"/>
      <c r="D9" s="12"/>
      <c r="E9" s="46"/>
    </row>
    <row r="10" spans="1:14" ht="22.5" customHeight="1" x14ac:dyDescent="0.2">
      <c r="A10" s="10" t="s">
        <v>46</v>
      </c>
      <c r="B10" s="11" t="s">
        <v>5</v>
      </c>
      <c r="C10" s="46">
        <v>750000</v>
      </c>
      <c r="D10" s="12">
        <v>3</v>
      </c>
      <c r="E10" s="46">
        <f t="shared" si="0"/>
        <v>2250000</v>
      </c>
    </row>
    <row r="11" spans="1:14" ht="22.5" customHeight="1" x14ac:dyDescent="0.2">
      <c r="A11" s="10" t="s">
        <v>47</v>
      </c>
      <c r="B11" s="11" t="s">
        <v>5</v>
      </c>
      <c r="C11" s="46">
        <v>950000</v>
      </c>
      <c r="D11" s="12">
        <v>1</v>
      </c>
      <c r="E11" s="46">
        <f t="shared" si="0"/>
        <v>950000</v>
      </c>
    </row>
    <row r="12" spans="1:14" ht="22.5" customHeight="1" x14ac:dyDescent="0.3">
      <c r="A12" s="6" t="s">
        <v>7</v>
      </c>
      <c r="B12" s="7"/>
      <c r="C12" s="47"/>
      <c r="D12" s="12"/>
      <c r="E12" s="46"/>
    </row>
    <row r="13" spans="1:14" ht="22.5" customHeight="1" x14ac:dyDescent="0.3">
      <c r="A13" s="9" t="s">
        <v>8</v>
      </c>
      <c r="B13" s="7"/>
      <c r="C13" s="47"/>
      <c r="D13" s="12"/>
      <c r="E13" s="46"/>
    </row>
    <row r="14" spans="1:14" ht="22.5" customHeight="1" x14ac:dyDescent="0.2">
      <c r="A14" s="10" t="s">
        <v>44</v>
      </c>
      <c r="B14" s="11" t="s">
        <v>9</v>
      </c>
      <c r="C14" s="46">
        <v>75000</v>
      </c>
      <c r="D14" s="12">
        <f>D2</f>
        <v>9</v>
      </c>
      <c r="E14" s="46">
        <f t="shared" si="0"/>
        <v>675000</v>
      </c>
    </row>
    <row r="15" spans="1:14" ht="22.5" customHeight="1" x14ac:dyDescent="0.2">
      <c r="A15" s="13" t="s">
        <v>78</v>
      </c>
      <c r="B15" s="11" t="s">
        <v>9</v>
      </c>
      <c r="C15" s="46">
        <v>35000</v>
      </c>
      <c r="D15" s="12">
        <f>D2</f>
        <v>9</v>
      </c>
      <c r="E15" s="46">
        <f t="shared" si="0"/>
        <v>315000</v>
      </c>
    </row>
    <row r="16" spans="1:14" ht="22.5" customHeight="1" x14ac:dyDescent="0.2">
      <c r="A16" s="10" t="s">
        <v>10</v>
      </c>
      <c r="B16" s="11" t="s">
        <v>9</v>
      </c>
      <c r="C16" s="46">
        <v>25000</v>
      </c>
      <c r="D16" s="12">
        <f>D2</f>
        <v>9</v>
      </c>
      <c r="E16" s="46">
        <f t="shared" si="0"/>
        <v>225000</v>
      </c>
    </row>
    <row r="17" spans="1:5" ht="22.5" customHeight="1" x14ac:dyDescent="0.2">
      <c r="A17" s="10" t="s">
        <v>60</v>
      </c>
      <c r="B17" s="11" t="s">
        <v>5</v>
      </c>
      <c r="C17" s="46">
        <v>250000</v>
      </c>
      <c r="D17" s="12">
        <v>1</v>
      </c>
      <c r="E17" s="46">
        <f t="shared" si="0"/>
        <v>250000</v>
      </c>
    </row>
    <row r="18" spans="1:5" ht="22.5" customHeight="1" x14ac:dyDescent="0.2">
      <c r="A18" s="13" t="s">
        <v>77</v>
      </c>
      <c r="B18" s="11" t="s">
        <v>9</v>
      </c>
      <c r="C18" s="46">
        <v>65000</v>
      </c>
      <c r="D18" s="12">
        <f>D2</f>
        <v>9</v>
      </c>
      <c r="E18" s="46">
        <f t="shared" si="0"/>
        <v>585000</v>
      </c>
    </row>
    <row r="19" spans="1:5" ht="22.5" customHeight="1" x14ac:dyDescent="0.3">
      <c r="A19" s="9" t="s">
        <v>12</v>
      </c>
      <c r="B19" s="7"/>
      <c r="C19" s="48"/>
      <c r="D19" s="12"/>
      <c r="E19" s="46"/>
    </row>
    <row r="20" spans="1:5" ht="22.5" customHeight="1" x14ac:dyDescent="0.2">
      <c r="A20" s="10" t="s">
        <v>43</v>
      </c>
      <c r="B20" s="11" t="s">
        <v>9</v>
      </c>
      <c r="C20" s="46">
        <v>160000</v>
      </c>
      <c r="D20" s="12">
        <f>D2</f>
        <v>9</v>
      </c>
      <c r="E20" s="46">
        <f t="shared" si="0"/>
        <v>1440000</v>
      </c>
    </row>
    <row r="21" spans="1:5" ht="22.5" customHeight="1" x14ac:dyDescent="0.2">
      <c r="A21" s="13" t="s">
        <v>13</v>
      </c>
      <c r="B21" s="11" t="s">
        <v>9</v>
      </c>
      <c r="C21" s="46">
        <v>500000</v>
      </c>
      <c r="D21" s="12">
        <f>ROUNDUP(D2/4,0)</f>
        <v>3</v>
      </c>
      <c r="E21" s="46">
        <f t="shared" si="0"/>
        <v>1500000</v>
      </c>
    </row>
    <row r="22" spans="1:5" ht="22.5" customHeight="1" x14ac:dyDescent="0.3">
      <c r="A22" s="15" t="s">
        <v>14</v>
      </c>
      <c r="B22" s="7"/>
      <c r="C22" s="48"/>
      <c r="D22" s="12"/>
      <c r="E22" s="46"/>
    </row>
    <row r="23" spans="1:5" ht="22.5" customHeight="1" x14ac:dyDescent="0.2">
      <c r="A23" s="13" t="s">
        <v>15</v>
      </c>
      <c r="B23" s="11" t="s">
        <v>9</v>
      </c>
      <c r="C23" s="46">
        <v>90000</v>
      </c>
      <c r="D23" s="12">
        <f>D2</f>
        <v>9</v>
      </c>
      <c r="E23" s="46">
        <f t="shared" si="0"/>
        <v>810000</v>
      </c>
    </row>
    <row r="24" spans="1:5" ht="22.5" customHeight="1" x14ac:dyDescent="0.2">
      <c r="A24" s="10" t="s">
        <v>59</v>
      </c>
      <c r="B24" s="11" t="s">
        <v>5</v>
      </c>
      <c r="C24" s="46">
        <v>100000</v>
      </c>
      <c r="D24" s="12">
        <v>1</v>
      </c>
      <c r="E24" s="46">
        <f t="shared" si="0"/>
        <v>100000</v>
      </c>
    </row>
    <row r="25" spans="1:5" ht="22.5" customHeight="1" x14ac:dyDescent="0.3">
      <c r="A25" s="16" t="s">
        <v>16</v>
      </c>
      <c r="B25" s="7"/>
      <c r="C25" s="47"/>
      <c r="D25" s="12"/>
      <c r="E25" s="46"/>
    </row>
    <row r="26" spans="1:5" ht="22.5" customHeight="1" x14ac:dyDescent="0.3">
      <c r="A26" s="9" t="s">
        <v>17</v>
      </c>
      <c r="B26" s="7"/>
      <c r="C26" s="47"/>
      <c r="D26" s="12"/>
      <c r="E26" s="46"/>
    </row>
    <row r="27" spans="1:5" ht="22.5" customHeight="1" x14ac:dyDescent="0.2">
      <c r="A27" s="10" t="s">
        <v>21</v>
      </c>
      <c r="B27" s="11" t="s">
        <v>19</v>
      </c>
      <c r="C27" s="46">
        <v>1100000</v>
      </c>
      <c r="D27" s="12">
        <f>IF((($D$2&gt;=4)*($D$2&lt;=11))=1,$C$2,0)</f>
        <v>3</v>
      </c>
      <c r="E27" s="46">
        <f t="shared" ref="E27:E39" si="1">C27*D27</f>
        <v>3300000</v>
      </c>
    </row>
    <row r="28" spans="1:5" ht="22.5" customHeight="1" x14ac:dyDescent="0.3">
      <c r="A28" s="9" t="s">
        <v>23</v>
      </c>
      <c r="B28" s="7"/>
      <c r="C28" s="47"/>
      <c r="D28" s="12"/>
      <c r="E28" s="46"/>
    </row>
    <row r="29" spans="1:5" ht="22.5" customHeight="1" x14ac:dyDescent="0.2">
      <c r="A29" s="13" t="s">
        <v>24</v>
      </c>
      <c r="B29" s="11" t="s">
        <v>5</v>
      </c>
      <c r="C29" s="46">
        <v>200000</v>
      </c>
      <c r="D29" s="12">
        <f>IF((($D$2&gt;=10)*($D$2&lt;=11))=1,2,1)</f>
        <v>1</v>
      </c>
      <c r="E29" s="46">
        <f t="shared" si="1"/>
        <v>200000</v>
      </c>
    </row>
    <row r="30" spans="1:5" ht="22.5" customHeight="1" x14ac:dyDescent="0.3">
      <c r="A30" s="16" t="s">
        <v>28</v>
      </c>
      <c r="B30" s="7"/>
      <c r="C30" s="47"/>
      <c r="D30" s="12"/>
      <c r="E30" s="46"/>
    </row>
    <row r="31" spans="1:5" ht="22.5" customHeight="1" x14ac:dyDescent="0.3">
      <c r="A31" s="9" t="s">
        <v>29</v>
      </c>
      <c r="B31" s="7"/>
      <c r="C31" s="47"/>
      <c r="D31" s="12"/>
      <c r="E31" s="46"/>
    </row>
    <row r="32" spans="1:5" ht="22.5" customHeight="1" x14ac:dyDescent="0.2">
      <c r="A32" s="10" t="s">
        <v>55</v>
      </c>
      <c r="B32" s="11" t="s">
        <v>19</v>
      </c>
      <c r="C32" s="46">
        <v>250000</v>
      </c>
      <c r="D32" s="12">
        <f>IF((($D$2&gt;=4)*($D$2&lt;=11))=1,$C$2,0)</f>
        <v>3</v>
      </c>
      <c r="E32" s="46">
        <f t="shared" si="1"/>
        <v>750000</v>
      </c>
    </row>
    <row r="33" spans="1:5" ht="22.5" customHeight="1" x14ac:dyDescent="0.3">
      <c r="A33" s="16" t="s">
        <v>31</v>
      </c>
      <c r="B33" s="7"/>
      <c r="C33" s="47"/>
      <c r="D33" s="12"/>
      <c r="E33" s="46"/>
    </row>
    <row r="34" spans="1:5" ht="22.5" customHeight="1" x14ac:dyDescent="0.3">
      <c r="A34" s="9" t="s">
        <v>32</v>
      </c>
      <c r="B34" s="7"/>
      <c r="C34" s="47"/>
      <c r="D34" s="12"/>
      <c r="E34" s="46"/>
    </row>
    <row r="35" spans="1:5" ht="22.5" customHeight="1" x14ac:dyDescent="0.2">
      <c r="A35" s="13" t="s">
        <v>33</v>
      </c>
      <c r="B35" s="11" t="s">
        <v>66</v>
      </c>
      <c r="C35" s="46">
        <v>50000</v>
      </c>
      <c r="D35" s="12">
        <f>ROUNDUP(D2*C2*3/24,0)</f>
        <v>4</v>
      </c>
      <c r="E35" s="46">
        <f t="shared" si="1"/>
        <v>200000</v>
      </c>
    </row>
    <row r="36" spans="1:5" ht="22.5" customHeight="1" x14ac:dyDescent="0.2">
      <c r="A36" s="13" t="s">
        <v>35</v>
      </c>
      <c r="B36" s="11" t="s">
        <v>34</v>
      </c>
      <c r="C36" s="46">
        <v>100000</v>
      </c>
      <c r="D36" s="12">
        <v>1</v>
      </c>
      <c r="E36" s="46">
        <f t="shared" si="1"/>
        <v>100000</v>
      </c>
    </row>
    <row r="37" spans="1:5" ht="22.5" customHeight="1" x14ac:dyDescent="0.2">
      <c r="A37" s="13" t="s">
        <v>36</v>
      </c>
      <c r="B37" s="11" t="s">
        <v>9</v>
      </c>
      <c r="C37" s="46">
        <v>60000</v>
      </c>
      <c r="D37" s="12">
        <f>D2</f>
        <v>9</v>
      </c>
      <c r="E37" s="46">
        <f t="shared" si="1"/>
        <v>540000</v>
      </c>
    </row>
    <row r="38" spans="1:5" ht="22.5" customHeight="1" x14ac:dyDescent="0.3">
      <c r="A38" s="9" t="s">
        <v>39</v>
      </c>
      <c r="B38" s="7"/>
      <c r="C38" s="14"/>
      <c r="D38" s="12"/>
      <c r="E38" s="46"/>
    </row>
    <row r="39" spans="1:5" ht="22.5" customHeight="1" x14ac:dyDescent="0.2">
      <c r="A39" s="13" t="s">
        <v>40</v>
      </c>
      <c r="B39" s="11" t="s">
        <v>9</v>
      </c>
      <c r="C39" s="12">
        <v>16000</v>
      </c>
      <c r="D39" s="12">
        <f>D2</f>
        <v>9</v>
      </c>
      <c r="E39" s="46">
        <f t="shared" si="1"/>
        <v>144000</v>
      </c>
    </row>
    <row r="40" spans="1:5" s="1" customFormat="1" ht="30" customHeight="1" x14ac:dyDescent="0.2">
      <c r="A40" s="18" t="s">
        <v>67</v>
      </c>
      <c r="B40" s="17"/>
      <c r="C40" s="5"/>
      <c r="D40" s="12"/>
      <c r="E40" s="49">
        <f>SUM(E7:E39)</f>
        <v>15909000</v>
      </c>
    </row>
    <row r="41" spans="1:5" ht="36" customHeight="1" x14ac:dyDescent="0.2">
      <c r="A41" s="18" t="s">
        <v>72</v>
      </c>
      <c r="B41" s="8"/>
      <c r="C41" s="8"/>
      <c r="D41" s="8"/>
      <c r="E41" s="49">
        <f>E40/D2</f>
        <v>1767666.6666666667</v>
      </c>
    </row>
  </sheetData>
  <pageMargins left="0.25" right="0.25" top="0.75" bottom="0.75" header="0.3" footer="0.3"/>
  <pageSetup paperSize="9" scale="5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AAA5-A147-4D4D-99C2-8E9E19B586EF}">
  <sheetPr>
    <pageSetUpPr fitToPage="1"/>
  </sheetPr>
  <dimension ref="A1:E40"/>
  <sheetViews>
    <sheetView zoomScale="70" zoomScaleNormal="70" workbookViewId="0">
      <selection activeCell="C34" sqref="C34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5" ht="27.75" customHeight="1" x14ac:dyDescent="0.2">
      <c r="A2" s="3" t="s">
        <v>79</v>
      </c>
      <c r="B2" s="3"/>
      <c r="C2" s="3">
        <v>3</v>
      </c>
      <c r="D2" s="50">
        <v>10</v>
      </c>
      <c r="E2" s="52">
        <v>2550000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49</v>
      </c>
      <c r="B7" s="11" t="s">
        <v>5</v>
      </c>
      <c r="C7" s="46">
        <v>337500</v>
      </c>
      <c r="D7" s="12">
        <f>ROUNDUP(D2/2,0)</f>
        <v>5</v>
      </c>
      <c r="E7" s="46">
        <f t="shared" ref="E7:E22" si="0">C7*D7</f>
        <v>1687500</v>
      </c>
    </row>
    <row r="8" spans="1:5" ht="22.5" customHeight="1" x14ac:dyDescent="0.3">
      <c r="A8" s="9" t="s">
        <v>6</v>
      </c>
      <c r="B8" s="7"/>
      <c r="C8" s="47"/>
      <c r="D8" s="12"/>
      <c r="E8" s="46"/>
    </row>
    <row r="9" spans="1:5" ht="22.5" customHeight="1" x14ac:dyDescent="0.2">
      <c r="A9" s="10" t="s">
        <v>46</v>
      </c>
      <c r="B9" s="11" t="s">
        <v>5</v>
      </c>
      <c r="C9" s="46">
        <v>750000</v>
      </c>
      <c r="D9" s="12">
        <f>ROUNDUP(D2/2,0)</f>
        <v>5</v>
      </c>
      <c r="E9" s="46">
        <f t="shared" si="0"/>
        <v>3750000</v>
      </c>
    </row>
    <row r="10" spans="1:5" ht="22.5" customHeight="1" x14ac:dyDescent="0.3">
      <c r="A10" s="6" t="s">
        <v>7</v>
      </c>
      <c r="B10" s="7"/>
      <c r="C10" s="47"/>
      <c r="D10" s="12"/>
      <c r="E10" s="46"/>
    </row>
    <row r="11" spans="1:5" ht="22.5" customHeight="1" x14ac:dyDescent="0.3">
      <c r="A11" s="9" t="s">
        <v>8</v>
      </c>
      <c r="B11" s="7"/>
      <c r="C11" s="47"/>
      <c r="D11" s="12"/>
      <c r="E11" s="46"/>
    </row>
    <row r="12" spans="1:5" ht="22.5" customHeight="1" x14ac:dyDescent="0.2">
      <c r="A12" s="10" t="s">
        <v>44</v>
      </c>
      <c r="B12" s="11" t="s">
        <v>9</v>
      </c>
      <c r="C12" s="46">
        <v>75000</v>
      </c>
      <c r="D12" s="12">
        <f>D2</f>
        <v>10</v>
      </c>
      <c r="E12" s="46">
        <f t="shared" si="0"/>
        <v>750000</v>
      </c>
    </row>
    <row r="13" spans="1:5" ht="22.5" customHeight="1" x14ac:dyDescent="0.2">
      <c r="A13" s="13" t="s">
        <v>78</v>
      </c>
      <c r="B13" s="11" t="s">
        <v>9</v>
      </c>
      <c r="C13" s="46">
        <v>35000</v>
      </c>
      <c r="D13" s="12">
        <f>D2</f>
        <v>10</v>
      </c>
      <c r="E13" s="46">
        <f t="shared" si="0"/>
        <v>350000</v>
      </c>
    </row>
    <row r="14" spans="1:5" ht="22.5" customHeight="1" x14ac:dyDescent="0.2">
      <c r="A14" s="10" t="s">
        <v>10</v>
      </c>
      <c r="B14" s="11" t="s">
        <v>9</v>
      </c>
      <c r="C14" s="46">
        <v>25000</v>
      </c>
      <c r="D14" s="12">
        <f>D2</f>
        <v>10</v>
      </c>
      <c r="E14" s="46">
        <f t="shared" si="0"/>
        <v>250000</v>
      </c>
    </row>
    <row r="15" spans="1:5" ht="22.5" customHeight="1" x14ac:dyDescent="0.2">
      <c r="A15" s="10" t="s">
        <v>60</v>
      </c>
      <c r="B15" s="11" t="s">
        <v>5</v>
      </c>
      <c r="C15" s="46">
        <v>250000</v>
      </c>
      <c r="D15" s="12">
        <v>1</v>
      </c>
      <c r="E15" s="46">
        <f t="shared" si="0"/>
        <v>250000</v>
      </c>
    </row>
    <row r="16" spans="1:5" ht="22.5" customHeight="1" x14ac:dyDescent="0.2">
      <c r="A16" s="13" t="s">
        <v>77</v>
      </c>
      <c r="B16" s="11" t="s">
        <v>9</v>
      </c>
      <c r="C16" s="46">
        <v>65000</v>
      </c>
      <c r="D16" s="12">
        <f>D2</f>
        <v>10</v>
      </c>
      <c r="E16" s="46">
        <f t="shared" si="0"/>
        <v>650000</v>
      </c>
    </row>
    <row r="17" spans="1:5" ht="22.5" customHeight="1" x14ac:dyDescent="0.3">
      <c r="A17" s="9" t="s">
        <v>12</v>
      </c>
      <c r="B17" s="7"/>
      <c r="C17" s="48"/>
      <c r="D17" s="12"/>
      <c r="E17" s="46"/>
    </row>
    <row r="18" spans="1:5" ht="22.5" customHeight="1" x14ac:dyDescent="0.2">
      <c r="A18" s="10" t="s">
        <v>43</v>
      </c>
      <c r="B18" s="11" t="s">
        <v>9</v>
      </c>
      <c r="C18" s="46">
        <v>160000</v>
      </c>
      <c r="D18" s="12">
        <f>D2</f>
        <v>10</v>
      </c>
      <c r="E18" s="46">
        <f t="shared" si="0"/>
        <v>1600000</v>
      </c>
    </row>
    <row r="19" spans="1:5" ht="22.5" customHeight="1" x14ac:dyDescent="0.2">
      <c r="A19" s="13" t="s">
        <v>13</v>
      </c>
      <c r="B19" s="11" t="s">
        <v>9</v>
      </c>
      <c r="C19" s="46">
        <v>500000</v>
      </c>
      <c r="D19" s="12">
        <f>ROUNDUP(D2/4,0)</f>
        <v>3</v>
      </c>
      <c r="E19" s="46">
        <f t="shared" si="0"/>
        <v>1500000</v>
      </c>
    </row>
    <row r="20" spans="1:5" ht="22.5" customHeight="1" x14ac:dyDescent="0.3">
      <c r="A20" s="15" t="s">
        <v>14</v>
      </c>
      <c r="B20" s="7"/>
      <c r="C20" s="48"/>
      <c r="D20" s="12"/>
      <c r="E20" s="46"/>
    </row>
    <row r="21" spans="1:5" ht="22.5" customHeight="1" x14ac:dyDescent="0.2">
      <c r="A21" s="13" t="s">
        <v>15</v>
      </c>
      <c r="B21" s="11" t="s">
        <v>9</v>
      </c>
      <c r="C21" s="46">
        <v>90000</v>
      </c>
      <c r="D21" s="12">
        <f>D2</f>
        <v>10</v>
      </c>
      <c r="E21" s="46">
        <f t="shared" si="0"/>
        <v>900000</v>
      </c>
    </row>
    <row r="22" spans="1:5" ht="22.5" customHeight="1" x14ac:dyDescent="0.2">
      <c r="A22" s="10" t="s">
        <v>59</v>
      </c>
      <c r="B22" s="11" t="s">
        <v>5</v>
      </c>
      <c r="C22" s="46">
        <v>100000</v>
      </c>
      <c r="D22" s="12">
        <v>1</v>
      </c>
      <c r="E22" s="46">
        <f t="shared" si="0"/>
        <v>100000</v>
      </c>
    </row>
    <row r="23" spans="1:5" ht="22.5" customHeight="1" x14ac:dyDescent="0.3">
      <c r="A23" s="16" t="s">
        <v>16</v>
      </c>
      <c r="B23" s="7"/>
      <c r="C23" s="47"/>
      <c r="D23" s="12"/>
      <c r="E23" s="46"/>
    </row>
    <row r="24" spans="1:5" ht="22.5" customHeight="1" x14ac:dyDescent="0.3">
      <c r="A24" s="9" t="s">
        <v>17</v>
      </c>
      <c r="B24" s="7"/>
      <c r="C24" s="47"/>
      <c r="D24" s="12"/>
      <c r="E24" s="46"/>
    </row>
    <row r="25" spans="1:5" ht="22.5" customHeight="1" x14ac:dyDescent="0.2">
      <c r="A25" s="10" t="s">
        <v>21</v>
      </c>
      <c r="B25" s="11" t="s">
        <v>19</v>
      </c>
      <c r="C25" s="46">
        <v>1100000</v>
      </c>
      <c r="D25" s="12">
        <f>IF((($D$2&gt;=4)*($D$2&lt;=11))=1,$C$2,0)</f>
        <v>3</v>
      </c>
      <c r="E25" s="46">
        <f t="shared" ref="E25:E38" si="1">C25*D25</f>
        <v>3300000</v>
      </c>
    </row>
    <row r="26" spans="1:5" ht="22.5" customHeight="1" x14ac:dyDescent="0.2">
      <c r="A26" s="10" t="s">
        <v>75</v>
      </c>
      <c r="B26" s="11" t="s">
        <v>19</v>
      </c>
      <c r="C26" s="46">
        <f>250000+200000+200000</f>
        <v>650000</v>
      </c>
      <c r="D26" s="12">
        <v>3</v>
      </c>
      <c r="E26" s="46">
        <f t="shared" si="1"/>
        <v>1950000</v>
      </c>
    </row>
    <row r="27" spans="1:5" ht="22.5" customHeight="1" x14ac:dyDescent="0.3">
      <c r="A27" s="9" t="s">
        <v>23</v>
      </c>
      <c r="B27" s="7"/>
      <c r="C27" s="47"/>
      <c r="D27" s="12"/>
      <c r="E27" s="46"/>
    </row>
    <row r="28" spans="1:5" ht="22.5" customHeight="1" x14ac:dyDescent="0.2">
      <c r="A28" s="13" t="s">
        <v>24</v>
      </c>
      <c r="B28" s="11" t="s">
        <v>5</v>
      </c>
      <c r="C28" s="46">
        <v>200000</v>
      </c>
      <c r="D28" s="12">
        <f>IF((($D$2&gt;=10)*($D$2&lt;=11))=1,2,1)</f>
        <v>2</v>
      </c>
      <c r="E28" s="46">
        <f t="shared" si="1"/>
        <v>400000</v>
      </c>
    </row>
    <row r="29" spans="1:5" ht="22.5" customHeight="1" x14ac:dyDescent="0.3">
      <c r="A29" s="16" t="s">
        <v>28</v>
      </c>
      <c r="B29" s="7"/>
      <c r="C29" s="47"/>
      <c r="D29" s="12"/>
      <c r="E29" s="46"/>
    </row>
    <row r="30" spans="1:5" ht="22.5" customHeight="1" x14ac:dyDescent="0.3">
      <c r="A30" s="9" t="s">
        <v>29</v>
      </c>
      <c r="B30" s="7"/>
      <c r="C30" s="47"/>
      <c r="D30" s="12"/>
      <c r="E30" s="46"/>
    </row>
    <row r="31" spans="1:5" ht="22.5" customHeight="1" x14ac:dyDescent="0.2">
      <c r="A31" s="10" t="s">
        <v>55</v>
      </c>
      <c r="B31" s="11" t="s">
        <v>19</v>
      </c>
      <c r="C31" s="46">
        <v>250000</v>
      </c>
      <c r="D31" s="12">
        <f>IF((($D$2&gt;=4)*($D$2&lt;=11))=1,$C$2,0)</f>
        <v>3</v>
      </c>
      <c r="E31" s="46">
        <f t="shared" si="1"/>
        <v>750000</v>
      </c>
    </row>
    <row r="32" spans="1:5" ht="22.5" customHeight="1" x14ac:dyDescent="0.3">
      <c r="A32" s="16" t="s">
        <v>31</v>
      </c>
      <c r="B32" s="7"/>
      <c r="C32" s="47"/>
      <c r="D32" s="12"/>
      <c r="E32" s="46"/>
    </row>
    <row r="33" spans="1:5" ht="22.5" customHeight="1" x14ac:dyDescent="0.3">
      <c r="A33" s="9" t="s">
        <v>32</v>
      </c>
      <c r="B33" s="7"/>
      <c r="C33" s="47"/>
      <c r="D33" s="12"/>
      <c r="E33" s="46"/>
    </row>
    <row r="34" spans="1:5" ht="22.5" customHeight="1" x14ac:dyDescent="0.2">
      <c r="A34" s="13" t="s">
        <v>33</v>
      </c>
      <c r="B34" s="11" t="s">
        <v>66</v>
      </c>
      <c r="C34" s="46">
        <v>50000</v>
      </c>
      <c r="D34" s="12">
        <f>ROUNDUP(D2*C2*3/24,0)</f>
        <v>4</v>
      </c>
      <c r="E34" s="46">
        <f t="shared" si="1"/>
        <v>200000</v>
      </c>
    </row>
    <row r="35" spans="1:5" ht="22.5" customHeight="1" x14ac:dyDescent="0.2">
      <c r="A35" s="13" t="s">
        <v>35</v>
      </c>
      <c r="B35" s="11" t="s">
        <v>34</v>
      </c>
      <c r="C35" s="46">
        <v>100000</v>
      </c>
      <c r="D35" s="12">
        <v>1</v>
      </c>
      <c r="E35" s="46">
        <f t="shared" si="1"/>
        <v>100000</v>
      </c>
    </row>
    <row r="36" spans="1:5" ht="22.5" customHeight="1" x14ac:dyDescent="0.2">
      <c r="A36" s="13" t="s">
        <v>36</v>
      </c>
      <c r="B36" s="11" t="s">
        <v>9</v>
      </c>
      <c r="C36" s="46">
        <v>60000</v>
      </c>
      <c r="D36" s="12">
        <f>D2</f>
        <v>10</v>
      </c>
      <c r="E36" s="46">
        <f t="shared" si="1"/>
        <v>600000</v>
      </c>
    </row>
    <row r="37" spans="1:5" ht="22.5" customHeight="1" x14ac:dyDescent="0.3">
      <c r="A37" s="9" t="s">
        <v>39</v>
      </c>
      <c r="B37" s="7"/>
      <c r="C37" s="14"/>
      <c r="D37" s="12"/>
      <c r="E37" s="46"/>
    </row>
    <row r="38" spans="1:5" ht="22.5" customHeight="1" x14ac:dyDescent="0.2">
      <c r="A38" s="13" t="s">
        <v>40</v>
      </c>
      <c r="B38" s="11" t="s">
        <v>9</v>
      </c>
      <c r="C38" s="12">
        <v>16000</v>
      </c>
      <c r="D38" s="12">
        <f>D2</f>
        <v>10</v>
      </c>
      <c r="E38" s="46">
        <f t="shared" si="1"/>
        <v>160000</v>
      </c>
    </row>
    <row r="39" spans="1:5" s="1" customFormat="1" ht="30" customHeight="1" x14ac:dyDescent="0.2">
      <c r="A39" s="18" t="s">
        <v>67</v>
      </c>
      <c r="B39" s="17"/>
      <c r="C39" s="5"/>
      <c r="D39" s="12"/>
      <c r="E39" s="49">
        <f>SUM(E7:E38)</f>
        <v>19247500</v>
      </c>
    </row>
    <row r="40" spans="1:5" ht="36" customHeight="1" x14ac:dyDescent="0.2">
      <c r="A40" s="18" t="s">
        <v>72</v>
      </c>
      <c r="B40" s="8"/>
      <c r="C40" s="8"/>
      <c r="D40" s="8"/>
      <c r="E40" s="49">
        <f>E39/D2</f>
        <v>1924750</v>
      </c>
    </row>
  </sheetData>
  <pageMargins left="0.25" right="0.25" top="0.75" bottom="0.75" header="0.3" footer="0.3"/>
  <pageSetup paperSize="9" scale="53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B415-2B3B-B14E-9965-D18E12975D19}">
  <sheetPr>
    <pageSetUpPr fitToPage="1"/>
  </sheetPr>
  <dimension ref="A1:N42"/>
  <sheetViews>
    <sheetView tabSelected="1" topLeftCell="A24" zoomScale="85" zoomScaleNormal="85" workbookViewId="0">
      <selection sqref="A1:E42"/>
    </sheetView>
  </sheetViews>
  <sheetFormatPr defaultColWidth="9" defaultRowHeight="12.75" x14ac:dyDescent="0.2"/>
  <cols>
    <col min="1" max="1" width="107.5" bestFit="1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61</v>
      </c>
      <c r="B1" s="2"/>
      <c r="C1" s="2" t="s">
        <v>62</v>
      </c>
      <c r="D1" s="2" t="s">
        <v>63</v>
      </c>
      <c r="E1" s="2" t="s">
        <v>80</v>
      </c>
    </row>
    <row r="2" spans="1:14" ht="27.75" customHeight="1" x14ac:dyDescent="0.2">
      <c r="A2" s="3" t="s">
        <v>79</v>
      </c>
      <c r="B2" s="3"/>
      <c r="C2" s="3">
        <v>3</v>
      </c>
      <c r="D2" s="50">
        <v>11</v>
      </c>
      <c r="E2" s="52">
        <v>2450000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64</v>
      </c>
      <c r="E4" s="5" t="s">
        <v>65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49</v>
      </c>
      <c r="B7" s="11" t="s">
        <v>5</v>
      </c>
      <c r="C7" s="46">
        <v>337500</v>
      </c>
      <c r="D7" s="12">
        <v>4</v>
      </c>
      <c r="E7" s="46">
        <f t="shared" ref="E7:E24" si="0">C7*D7</f>
        <v>1350000</v>
      </c>
    </row>
    <row r="8" spans="1:14" ht="22.5" customHeight="1" x14ac:dyDescent="0.25">
      <c r="A8" s="10" t="s">
        <v>53</v>
      </c>
      <c r="B8" s="11" t="s">
        <v>5</v>
      </c>
      <c r="C8" s="46">
        <v>562500</v>
      </c>
      <c r="D8" s="12">
        <v>1</v>
      </c>
      <c r="E8" s="46">
        <f t="shared" si="0"/>
        <v>562500</v>
      </c>
      <c r="H8" s="39"/>
      <c r="I8" s="40"/>
      <c r="J8" s="40"/>
      <c r="K8" s="41"/>
      <c r="L8" s="41"/>
      <c r="M8" s="41"/>
      <c r="N8" s="41"/>
    </row>
    <row r="9" spans="1:14" ht="22.5" customHeight="1" x14ac:dyDescent="0.3">
      <c r="A9" s="9" t="s">
        <v>6</v>
      </c>
      <c r="B9" s="7"/>
      <c r="C9" s="47"/>
      <c r="D9" s="12"/>
      <c r="E9" s="46"/>
    </row>
    <row r="10" spans="1:14" ht="22.5" customHeight="1" x14ac:dyDescent="0.2">
      <c r="A10" s="10" t="s">
        <v>46</v>
      </c>
      <c r="B10" s="11" t="s">
        <v>5</v>
      </c>
      <c r="C10" s="46">
        <v>750000</v>
      </c>
      <c r="D10" s="12">
        <v>4</v>
      </c>
      <c r="E10" s="46">
        <f t="shared" si="0"/>
        <v>3000000</v>
      </c>
    </row>
    <row r="11" spans="1:14" ht="22.5" customHeight="1" x14ac:dyDescent="0.2">
      <c r="A11" s="10" t="s">
        <v>47</v>
      </c>
      <c r="B11" s="11" t="s">
        <v>5</v>
      </c>
      <c r="C11" s="46">
        <v>950000</v>
      </c>
      <c r="D11" s="12">
        <v>1</v>
      </c>
      <c r="E11" s="46">
        <f t="shared" si="0"/>
        <v>950000</v>
      </c>
    </row>
    <row r="12" spans="1:14" ht="22.5" customHeight="1" x14ac:dyDescent="0.3">
      <c r="A12" s="6" t="s">
        <v>7</v>
      </c>
      <c r="B12" s="7"/>
      <c r="C12" s="47"/>
      <c r="D12" s="12"/>
      <c r="E12" s="46"/>
    </row>
    <row r="13" spans="1:14" ht="22.5" customHeight="1" x14ac:dyDescent="0.3">
      <c r="A13" s="9" t="s">
        <v>8</v>
      </c>
      <c r="B13" s="7"/>
      <c r="C13" s="47"/>
      <c r="D13" s="12"/>
      <c r="E13" s="46"/>
    </row>
    <row r="14" spans="1:14" ht="22.5" customHeight="1" x14ac:dyDescent="0.2">
      <c r="A14" s="10" t="s">
        <v>44</v>
      </c>
      <c r="B14" s="11" t="s">
        <v>9</v>
      </c>
      <c r="C14" s="46">
        <v>75000</v>
      </c>
      <c r="D14" s="12">
        <f>D2</f>
        <v>11</v>
      </c>
      <c r="E14" s="46">
        <f t="shared" si="0"/>
        <v>825000</v>
      </c>
    </row>
    <row r="15" spans="1:14" ht="22.5" customHeight="1" x14ac:dyDescent="0.2">
      <c r="A15" s="13" t="s">
        <v>78</v>
      </c>
      <c r="B15" s="11" t="s">
        <v>9</v>
      </c>
      <c r="C15" s="46">
        <v>35000</v>
      </c>
      <c r="D15" s="12">
        <f>D2</f>
        <v>11</v>
      </c>
      <c r="E15" s="46">
        <f t="shared" si="0"/>
        <v>385000</v>
      </c>
    </row>
    <row r="16" spans="1:14" ht="22.5" customHeight="1" x14ac:dyDescent="0.2">
      <c r="A16" s="10" t="s">
        <v>10</v>
      </c>
      <c r="B16" s="11" t="s">
        <v>9</v>
      </c>
      <c r="C16" s="46">
        <v>25000</v>
      </c>
      <c r="D16" s="12">
        <f>D2</f>
        <v>11</v>
      </c>
      <c r="E16" s="46">
        <f t="shared" si="0"/>
        <v>275000</v>
      </c>
    </row>
    <row r="17" spans="1:5" ht="22.5" customHeight="1" x14ac:dyDescent="0.2">
      <c r="A17" s="10" t="s">
        <v>60</v>
      </c>
      <c r="B17" s="11" t="s">
        <v>5</v>
      </c>
      <c r="C17" s="46">
        <v>250000</v>
      </c>
      <c r="D17" s="12">
        <v>1</v>
      </c>
      <c r="E17" s="46">
        <f t="shared" si="0"/>
        <v>250000</v>
      </c>
    </row>
    <row r="18" spans="1:5" ht="22.5" customHeight="1" x14ac:dyDescent="0.2">
      <c r="A18" s="13" t="s">
        <v>77</v>
      </c>
      <c r="B18" s="11" t="s">
        <v>9</v>
      </c>
      <c r="C18" s="46">
        <v>65000</v>
      </c>
      <c r="D18" s="12">
        <f>D2</f>
        <v>11</v>
      </c>
      <c r="E18" s="46">
        <f t="shared" si="0"/>
        <v>715000</v>
      </c>
    </row>
    <row r="19" spans="1:5" ht="22.5" customHeight="1" x14ac:dyDescent="0.3">
      <c r="A19" s="9" t="s">
        <v>12</v>
      </c>
      <c r="B19" s="7"/>
      <c r="C19" s="48"/>
      <c r="D19" s="12"/>
      <c r="E19" s="46"/>
    </row>
    <row r="20" spans="1:5" ht="22.5" customHeight="1" x14ac:dyDescent="0.2">
      <c r="A20" s="10" t="s">
        <v>43</v>
      </c>
      <c r="B20" s="11" t="s">
        <v>9</v>
      </c>
      <c r="C20" s="46">
        <v>160000</v>
      </c>
      <c r="D20" s="12">
        <f>D2</f>
        <v>11</v>
      </c>
      <c r="E20" s="46">
        <f t="shared" si="0"/>
        <v>1760000</v>
      </c>
    </row>
    <row r="21" spans="1:5" ht="22.5" customHeight="1" x14ac:dyDescent="0.2">
      <c r="A21" s="13" t="s">
        <v>13</v>
      </c>
      <c r="B21" s="11" t="s">
        <v>9</v>
      </c>
      <c r="C21" s="46">
        <v>500000</v>
      </c>
      <c r="D21" s="12">
        <f>ROUNDUP(D2/4,0)</f>
        <v>3</v>
      </c>
      <c r="E21" s="46">
        <f t="shared" si="0"/>
        <v>1500000</v>
      </c>
    </row>
    <row r="22" spans="1:5" ht="22.5" customHeight="1" x14ac:dyDescent="0.3">
      <c r="A22" s="15" t="s">
        <v>14</v>
      </c>
      <c r="B22" s="7"/>
      <c r="C22" s="48"/>
      <c r="D22" s="12"/>
      <c r="E22" s="46"/>
    </row>
    <row r="23" spans="1:5" ht="22.5" customHeight="1" x14ac:dyDescent="0.2">
      <c r="A23" s="13" t="s">
        <v>15</v>
      </c>
      <c r="B23" s="11" t="s">
        <v>9</v>
      </c>
      <c r="C23" s="46">
        <v>90000</v>
      </c>
      <c r="D23" s="12">
        <f>D2</f>
        <v>11</v>
      </c>
      <c r="E23" s="46">
        <f t="shared" si="0"/>
        <v>990000</v>
      </c>
    </row>
    <row r="24" spans="1:5" ht="22.5" customHeight="1" x14ac:dyDescent="0.2">
      <c r="A24" s="10" t="s">
        <v>59</v>
      </c>
      <c r="B24" s="11" t="s">
        <v>5</v>
      </c>
      <c r="C24" s="46">
        <v>100000</v>
      </c>
      <c r="D24" s="12">
        <v>1</v>
      </c>
      <c r="E24" s="46">
        <f t="shared" si="0"/>
        <v>100000</v>
      </c>
    </row>
    <row r="25" spans="1:5" ht="22.5" customHeight="1" x14ac:dyDescent="0.3">
      <c r="A25" s="16" t="s">
        <v>16</v>
      </c>
      <c r="B25" s="7"/>
      <c r="C25" s="47"/>
      <c r="D25" s="12"/>
      <c r="E25" s="46"/>
    </row>
    <row r="26" spans="1:5" ht="22.5" customHeight="1" x14ac:dyDescent="0.3">
      <c r="A26" s="9" t="s">
        <v>17</v>
      </c>
      <c r="B26" s="7"/>
      <c r="C26" s="47"/>
      <c r="D26" s="12"/>
      <c r="E26" s="46"/>
    </row>
    <row r="27" spans="1:5" ht="22.5" customHeight="1" x14ac:dyDescent="0.2">
      <c r="A27" s="10" t="s">
        <v>21</v>
      </c>
      <c r="B27" s="11" t="s">
        <v>19</v>
      </c>
      <c r="C27" s="46">
        <v>1100000</v>
      </c>
      <c r="D27" s="12">
        <f>IF((($D$2&gt;=4)*($D$2&lt;=11))=1,$C$2,0)</f>
        <v>3</v>
      </c>
      <c r="E27" s="46">
        <f t="shared" ref="E27:E40" si="1">C27*D27</f>
        <v>3300000</v>
      </c>
    </row>
    <row r="28" spans="1:5" ht="22.5" customHeight="1" x14ac:dyDescent="0.2">
      <c r="A28" s="10" t="s">
        <v>75</v>
      </c>
      <c r="B28" s="11" t="s">
        <v>19</v>
      </c>
      <c r="C28" s="46">
        <f>250000+200000+200000</f>
        <v>650000</v>
      </c>
      <c r="D28" s="12">
        <v>3</v>
      </c>
      <c r="E28" s="46">
        <f t="shared" si="1"/>
        <v>1950000</v>
      </c>
    </row>
    <row r="29" spans="1:5" ht="22.5" customHeight="1" x14ac:dyDescent="0.3">
      <c r="A29" s="9" t="s">
        <v>23</v>
      </c>
      <c r="B29" s="7"/>
      <c r="C29" s="47"/>
      <c r="D29" s="12"/>
      <c r="E29" s="46"/>
    </row>
    <row r="30" spans="1:5" ht="22.5" customHeight="1" x14ac:dyDescent="0.2">
      <c r="A30" s="13" t="s">
        <v>24</v>
      </c>
      <c r="B30" s="11" t="s">
        <v>5</v>
      </c>
      <c r="C30" s="46">
        <v>200000</v>
      </c>
      <c r="D30" s="12">
        <f>IF((($D$2&gt;=10)*($D$2&lt;=11))=1,2,1)</f>
        <v>2</v>
      </c>
      <c r="E30" s="46">
        <f t="shared" si="1"/>
        <v>400000</v>
      </c>
    </row>
    <row r="31" spans="1:5" ht="22.5" customHeight="1" x14ac:dyDescent="0.3">
      <c r="A31" s="16" t="s">
        <v>28</v>
      </c>
      <c r="B31" s="7"/>
      <c r="C31" s="47"/>
      <c r="D31" s="12"/>
      <c r="E31" s="46"/>
    </row>
    <row r="32" spans="1:5" ht="22.5" customHeight="1" x14ac:dyDescent="0.3">
      <c r="A32" s="9" t="s">
        <v>29</v>
      </c>
      <c r="B32" s="7"/>
      <c r="C32" s="47"/>
      <c r="D32" s="12"/>
      <c r="E32" s="46"/>
    </row>
    <row r="33" spans="1:5" ht="22.5" customHeight="1" x14ac:dyDescent="0.2">
      <c r="A33" s="10" t="s">
        <v>55</v>
      </c>
      <c r="B33" s="11" t="s">
        <v>19</v>
      </c>
      <c r="C33" s="46">
        <v>250000</v>
      </c>
      <c r="D33" s="12">
        <f>IF((($D$2&gt;=4)*($D$2&lt;=11))=1,$C$2,0)</f>
        <v>3</v>
      </c>
      <c r="E33" s="46">
        <f t="shared" si="1"/>
        <v>750000</v>
      </c>
    </row>
    <row r="34" spans="1:5" ht="22.5" customHeight="1" x14ac:dyDescent="0.3">
      <c r="A34" s="16" t="s">
        <v>31</v>
      </c>
      <c r="B34" s="7"/>
      <c r="C34" s="47"/>
      <c r="D34" s="12"/>
      <c r="E34" s="46"/>
    </row>
    <row r="35" spans="1:5" ht="22.5" customHeight="1" x14ac:dyDescent="0.3">
      <c r="A35" s="9" t="s">
        <v>32</v>
      </c>
      <c r="B35" s="7"/>
      <c r="C35" s="47"/>
      <c r="D35" s="12"/>
      <c r="E35" s="46"/>
    </row>
    <row r="36" spans="1:5" ht="22.5" customHeight="1" x14ac:dyDescent="0.2">
      <c r="A36" s="13" t="s">
        <v>33</v>
      </c>
      <c r="B36" s="11" t="s">
        <v>66</v>
      </c>
      <c r="C36" s="46">
        <v>50000</v>
      </c>
      <c r="D36" s="12">
        <f>ROUNDUP(D2*C2*3/24,0)</f>
        <v>5</v>
      </c>
      <c r="E36" s="46">
        <f t="shared" si="1"/>
        <v>250000</v>
      </c>
    </row>
    <row r="37" spans="1:5" ht="22.5" customHeight="1" x14ac:dyDescent="0.2">
      <c r="A37" s="13" t="s">
        <v>35</v>
      </c>
      <c r="B37" s="11" t="s">
        <v>34</v>
      </c>
      <c r="C37" s="46">
        <v>100000</v>
      </c>
      <c r="D37" s="12">
        <v>1</v>
      </c>
      <c r="E37" s="46">
        <f t="shared" si="1"/>
        <v>100000</v>
      </c>
    </row>
    <row r="38" spans="1:5" ht="22.5" customHeight="1" x14ac:dyDescent="0.2">
      <c r="A38" s="13" t="s">
        <v>36</v>
      </c>
      <c r="B38" s="11" t="s">
        <v>9</v>
      </c>
      <c r="C38" s="46">
        <v>60000</v>
      </c>
      <c r="D38" s="12">
        <f>D2</f>
        <v>11</v>
      </c>
      <c r="E38" s="46">
        <f t="shared" si="1"/>
        <v>660000</v>
      </c>
    </row>
    <row r="39" spans="1:5" ht="22.5" customHeight="1" x14ac:dyDescent="0.3">
      <c r="A39" s="9" t="s">
        <v>39</v>
      </c>
      <c r="B39" s="7"/>
      <c r="C39" s="14"/>
      <c r="D39" s="12"/>
      <c r="E39" s="46"/>
    </row>
    <row r="40" spans="1:5" ht="22.5" customHeight="1" x14ac:dyDescent="0.2">
      <c r="A40" s="13" t="s">
        <v>40</v>
      </c>
      <c r="B40" s="11" t="s">
        <v>9</v>
      </c>
      <c r="C40" s="12">
        <v>16000</v>
      </c>
      <c r="D40" s="12">
        <f>D2</f>
        <v>11</v>
      </c>
      <c r="E40" s="46">
        <f t="shared" si="1"/>
        <v>176000</v>
      </c>
    </row>
    <row r="41" spans="1:5" s="1" customFormat="1" ht="30" customHeight="1" x14ac:dyDescent="0.2">
      <c r="A41" s="18" t="s">
        <v>67</v>
      </c>
      <c r="B41" s="17"/>
      <c r="C41" s="5"/>
      <c r="D41" s="12"/>
      <c r="E41" s="49">
        <f>SUM(E7:E40)</f>
        <v>20248500</v>
      </c>
    </row>
    <row r="42" spans="1:5" ht="36" customHeight="1" x14ac:dyDescent="0.2">
      <c r="A42" s="18" t="s">
        <v>72</v>
      </c>
      <c r="B42" s="8"/>
      <c r="C42" s="8"/>
      <c r="D42" s="8"/>
      <c r="E42" s="49">
        <f>E41/D2</f>
        <v>1840772.7272727273</v>
      </c>
    </row>
  </sheetData>
  <pageMargins left="0.25" right="0.25" top="0.75" bottom="0.75" header="0.3" footer="0.3"/>
  <pageSetup paperSize="9" scale="5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2025-11-14T09:56:12Z</cp:lastPrinted>
  <dcterms:created xsi:type="dcterms:W3CDTF">2023-11-29T03:56:29Z</dcterms:created>
  <dcterms:modified xsi:type="dcterms:W3CDTF">2025-11-14T09:56:24Z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